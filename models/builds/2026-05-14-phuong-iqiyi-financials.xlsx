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uongduyphuong/Documents/GitHub/Corporate-Finance/models/builds/"/>
    </mc:Choice>
  </mc:AlternateContent>
  <xr:revisionPtr revIDLastSave="0" documentId="13_ncr:1_{F4E33CD7-4A07-5F44-B77D-00CC3667660B}" xr6:coauthVersionLast="47" xr6:coauthVersionMax="47" xr10:uidLastSave="{00000000-0000-0000-0000-000000000000}"/>
  <bookViews>
    <workbookView xWindow="0" yWindow="600" windowWidth="28800" windowHeight="17400" activeTab="4" xr2:uid="{00000000-000D-0000-FFFF-FFFF00000000}"/>
  </bookViews>
  <sheets>
    <sheet name="Cover" sheetId="1" r:id="rId1"/>
    <sheet name="Balance Sheet" sheetId="2" r:id="rId2"/>
    <sheet name="Income Statement" sheetId="3" r:id="rId3"/>
    <sheet name="Cash Flow Statement" sheetId="4" r:id="rId4"/>
    <sheet name="Ratios" sheetId="5" r:id="rId5"/>
    <sheet name="Notes" sheetId="6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Sheet'!$C$23</definedName>
    <definedName name="BAL_assets_total_prior">'Balance Sheet'!$D$23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Statement'!$C$23</definedName>
    <definedName name="CASH_operating">'Cash Flow Statement'!$C$17</definedName>
    <definedName name="CF_depreciation_amortization">'Cash Flow Statement'!$C$8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5" l="1"/>
  <c r="C17" i="4"/>
  <c r="C31" i="4"/>
  <c r="C10" i="3"/>
  <c r="C23" i="4" l="1"/>
  <c r="C16" i="4"/>
  <c r="D18" i="3"/>
  <c r="D14" i="3"/>
  <c r="D12" i="3"/>
  <c r="D11" i="3"/>
  <c r="C13" i="3"/>
  <c r="D9" i="3"/>
  <c r="D8" i="3"/>
  <c r="D7" i="3"/>
  <c r="H20" i="2"/>
  <c r="C15" i="5" s="1"/>
  <c r="G20" i="2"/>
  <c r="C24" i="5" s="1"/>
  <c r="D16" i="2"/>
  <c r="C16" i="2"/>
  <c r="D11" i="2"/>
  <c r="C11" i="2"/>
  <c r="H10" i="2"/>
  <c r="H15" i="2" s="1"/>
  <c r="G10" i="2"/>
  <c r="G15" i="2" s="1"/>
  <c r="C29" i="5"/>
  <c r="C28" i="5"/>
  <c r="C25" i="5"/>
  <c r="C23" i="5"/>
  <c r="C17" i="5"/>
  <c r="C55" i="5" s="1"/>
  <c r="C16" i="5"/>
  <c r="C57" i="5" s="1"/>
  <c r="C12" i="5"/>
  <c r="C7" i="5"/>
  <c r="C65" i="5" l="1"/>
  <c r="C19" i="5"/>
  <c r="H23" i="2"/>
  <c r="C44" i="5"/>
  <c r="C43" i="5"/>
  <c r="C36" i="5"/>
  <c r="C52" i="5" s="1"/>
  <c r="C32" i="5"/>
  <c r="C38" i="5" s="1"/>
  <c r="C63" i="5"/>
  <c r="C62" i="5"/>
  <c r="C30" i="5"/>
  <c r="D23" i="2"/>
  <c r="C18" i="5" s="1"/>
  <c r="C58" i="5"/>
  <c r="C56" i="5"/>
  <c r="C72" i="5"/>
  <c r="D13" i="3"/>
  <c r="C15" i="3"/>
  <c r="C33" i="5"/>
  <c r="G23" i="2"/>
  <c r="D10" i="3"/>
  <c r="C26" i="5"/>
  <c r="C27" i="5"/>
  <c r="C73" i="5" s="1"/>
  <c r="C23" i="2"/>
  <c r="C31" i="5" s="1"/>
  <c r="C59" i="5" l="1"/>
  <c r="C49" i="5"/>
  <c r="C71" i="5"/>
  <c r="C54" i="5"/>
  <c r="C37" i="5"/>
  <c r="C64" i="5"/>
  <c r="C68" i="5"/>
  <c r="C70" i="5"/>
  <c r="C7" i="4"/>
  <c r="C33" i="4" s="1"/>
  <c r="C19" i="3"/>
  <c r="D19" i="3" s="1"/>
  <c r="D15" i="3"/>
  <c r="C22" i="5"/>
  <c r="C60" i="5" l="1"/>
  <c r="C45" i="5"/>
  <c r="C75" i="5"/>
  <c r="C51" i="5"/>
  <c r="C67" i="5"/>
  <c r="C76" i="5" s="1"/>
  <c r="C48" i="5"/>
  <c r="C50" i="5"/>
  <c r="C47" i="5"/>
  <c r="F7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Lương Duy Phương</author>
  </authors>
  <commentList>
    <comment ref="C9" authorId="0" shapeId="0" xr:uid="{3CD5E084-64FC-7043-9FE4-1C9E5A2194C6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D&amp;A reported on Cash Flow Statement only; see CF_depreciation_amortization = 13,264,120. US GAAP convention for 20-F filings.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Lương Duy Phương</author>
  </authors>
  <commentList>
    <comment ref="C4" authorId="0" shapeId="0" xr:uid="{E149F8E8-BDD4-D442-ACDE-127B0272B3C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5" authorId="0" shapeId="0" xr:uid="{56E324DD-4FD8-6441-A3B7-88D7F2AFD606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Cover Page</t>
        </r>
      </text>
    </comment>
    <comment ref="C6" authorId="0" shapeId="0" xr:uid="{FCEFF8E5-CEF7-F84A-B547-165BAE6721E1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Source: SEC EDGAR Form 20-F FY2025, Business Overview</t>
        </r>
      </text>
    </comment>
    <comment ref="C7" authorId="0" shapeId="0" xr:uid="{BDF0DA65-C793-8E40-B638-E1966DEBDC5A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8" authorId="0" shapeId="0" xr:uid="{90A0008A-4DD6-DC43-B79E-5185723C13EF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</t>
        </r>
      </text>
    </comment>
    <comment ref="C9" authorId="0" shapeId="0" xr:uid="{C9067F94-B0A3-C749-9F3A-C51C357959E8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EDGAR, accession 000119312526107079</t>
        </r>
      </text>
    </comment>
    <comment ref="C11" authorId="0" shapeId="0" xr:uid="{BA50804D-676A-9D45-B6CA-13DB09C3CDC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2 — Summary of Significant Accounting Policies</t>
        </r>
      </text>
    </comment>
    <comment ref="C12" authorId="0" shapeId="0" xr:uid="{267B063F-1087-E547-ABB2-31DE89ABFFA9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Note 15 — Income Tax</t>
        </r>
      </text>
    </comment>
    <comment ref="C13" authorId="0" shapeId="0" xr:uid="{F65496A6-BFF1-0146-B894-B380E1BC31D7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Analyst assumption; not sourced from 20-F</t>
        </r>
      </text>
    </comment>
    <comment ref="C14" authorId="0" shapeId="0" xr:uid="{4120681A-6AAF-424F-8C90-F7A07490679B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— ADS structure</t>
        </r>
      </text>
    </comment>
    <comment ref="C15" authorId="0" shapeId="0" xr:uid="{83B74DC5-4749-7E41-BF5E-C6E6AB7DE60D}">
      <text>
        <r>
          <rPr>
            <b/>
            <sz val="10"/>
            <color rgb="FF000000"/>
            <rFont val="Tahoma"/>
            <family val="2"/>
          </rPr>
          <t>Lương Duy Phương: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SEC EDGAR Form 20-F FY2025, Cover Page &amp; Note 20 — Earnings Per Share</t>
        </r>
      </text>
    </comment>
  </commentList>
</comments>
</file>

<file path=xl/sharedStrings.xml><?xml version="1.0" encoding="utf-8"?>
<sst xmlns="http://schemas.openxmlformats.org/spreadsheetml/2006/main" count="365" uniqueCount="350">
  <si>
    <t>Ratios &amp; Derived Inputs</t>
  </si>
  <si>
    <t>Enter the four assumptions at top; all ratios populate automatically.</t>
  </si>
  <si>
    <t>Metric</t>
  </si>
  <si>
    <t>Input</t>
  </si>
  <si>
    <t>Named Range Formula</t>
  </si>
  <si>
    <t>Named Range</t>
  </si>
  <si>
    <t>Current fiscal year</t>
  </si>
  <si>
    <t>yearCurrent</t>
  </si>
  <si>
    <t>Start of year (prior)</t>
  </si>
  <si>
    <t>yearCurrent - 1</t>
  </si>
  <si>
    <t>yearStart</t>
  </si>
  <si>
    <t>Share price</t>
  </si>
  <si>
    <t>share_price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</si>
  <si>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</si>
  <si>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</si>
  <si>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</si>
  <si>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</si>
  <si>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</si>
  <si>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</si>
  <si>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</si>
  <si>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</si>
  <si>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 Start of Year (Prior-Year Balance Sheet) ──</t>
  </si>
  <si>
    <t>Equity (start of year)</t>
  </si>
  <si>
    <t>BAL_equity_shareholders_prior</t>
  </si>
  <si>
    <t>startYear_equity</t>
  </si>
  <si>
    <t>Inventories (start of year)</t>
  </si>
  <si>
    <t>BAL_inventories_prior</t>
  </si>
  <si>
    <t>startYear_inventory</t>
  </si>
  <si>
    <t>Receivables (start of year)</t>
  </si>
  <si>
    <t>BAL_receivables_prior</t>
  </si>
  <si>
    <t>startYear_receivables</t>
  </si>
  <si>
    <t>Total assets (start of year)</t>
  </si>
  <si>
    <t>BAL_assets_total_prior</t>
  </si>
  <si>
    <t>startYear_total_assets</t>
  </si>
  <si>
    <t>Total capitalization (start of year)</t>
  </si>
  <si>
    <t>BAL_debt_long_term_prior + BAL_equity_shareholders_prior</t>
  </si>
  <si>
    <t>startYear_total_capitalization</t>
  </si>
  <si>
    <t>── Current Year (Derived) ──</t>
  </si>
  <si>
    <t>After-tax operating income</t>
  </si>
  <si>
    <t>INC_net + (1 − 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</si>
  <si>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</si>
  <si>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</si>
  <si>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</si>
  <si>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</si>
  <si>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</si>
  <si>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BAL_equity_shareholders_curr</t>
  </si>
  <si>
    <t>currentYear_equity</t>
  </si>
  <si>
    <t>Cash + Marketable securities</t>
  </si>
  <si>
    <t>BAL_cash_marketable_securities_curr</t>
  </si>
  <si>
    <t>currentYear_cash_marketable_securities</t>
  </si>
  <si>
    <t>Current assets</t>
  </si>
  <si>
    <t>BAL_assets_current_curr</t>
  </si>
  <si>
    <t>currentYear_assets_current</t>
  </si>
  <si>
    <t>Current liabilities</t>
  </si>
  <si>
    <t>BAL_liabilities_current_curr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</si>
  <si>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</si>
  <si>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</si>
  <si>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</si>
  <si>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</si>
  <si>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</si>
  <si>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BAL_debt_long_term_curr</t>
  </si>
  <si>
    <t>currentYear_debt_long_term</t>
  </si>
  <si>
    <t>Net working capital</t>
  </si>
  <si>
    <t>BAL_assets_current_curr − BAL_liabilities_current_curr</t>
  </si>
  <si>
    <t>currentYear_working_capital_net</t>
  </si>
  <si>
    <t>Total assets</t>
  </si>
  <si>
    <t>BAL_assets_total_curr</t>
  </si>
  <si>
    <t>currentYear_assets_total</t>
  </si>
  <si>
    <t>Total capitalization</t>
  </si>
  <si>
    <t>currentYear_debt_long_term + currentYear_equity</t>
  </si>
  <si>
    <t>currentYear_total_capitalization</t>
  </si>
  <si>
    <t>Total liabilities</t>
  </si>
  <si>
    <t>BAL_liabilities_total_curr</t>
  </si>
  <si>
    <t>currentYear_liabilities_total</t>
  </si>
  <si>
    <t>── Mixed Year (Averages) 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</si>
  <si>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</si>
  <si>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</si>
  <si>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</si>
  <si>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</si>
  <si>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</si>
  <si>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</si>
  <si>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</si>
  <si>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</si>
  <si>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</si>
  <si>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Ratio</t>
  </si>
  <si>
    <t>Output</t>
  </si>
  <si>
    <t>Named Range Formula (reference)</t>
  </si>
  <si>
    <t>Check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</si>
  <si>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</si>
  <si>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</si>
  <si>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</si>
  <si>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</si>
  <si>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</si>
  <si>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</si>
  <si>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</si>
  <si>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</si>
  <si>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</si>
  <si>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</si>
  <si>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</si>
  <si>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</si>
  <si>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</si>
  <si>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</si>
  <si>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</si>
  <si>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</si>
  <si>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</si>
  <si>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</si>
  <si>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</si>
  <si>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</si>
  <si>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</si>
  <si>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</si>
  <si>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</si>
  <si>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</si>
  <si>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</si>
  <si>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</si>
  <si>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</si>
  <si>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</si>
  <si>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</si>
  <si>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</si>
  <si>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</si>
  <si>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</si>
  <si>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</si>
  <si>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</si>
  <si>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</si>
  <si>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</si>
  <si>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</si>
  <si>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</si>
  <si>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</si>
  <si>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</si>
  <si>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</si>
  <si>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</si>
  <si>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</si>
  <si>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</si>
  <si>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</si>
  <si>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</si>
  <si>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</si>
  <si>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</si>
  <si>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</si>
  <si>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</si>
  <si>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</si>
  <si>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</si>
  <si>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</si>
  <si>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</si>
  <si>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</si>
  <si>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</si>
  <si>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</si>
  <si>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</si>
  <si>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</si>
  <si>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BAL_receivables_curr)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</si>
  <si>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</si>
  <si>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</si>
  <si>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</si>
  <si>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</si>
  <si>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</si>
  <si>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>Return on equity (Du Pont)</t>
  </si>
  <si>
    <t>RATIO_leverage × RATIO_asset_turnover × RATIO_operating_profit_margin × RATIO_debt_burden</t>
  </si>
  <si>
    <t>UNIVERSITY OF HAWAIʻI AT MĀNOA · SHIDLER COLLEGE OF BUSINESS</t>
  </si>
  <si>
    <t>BUS-629 International Corporate Finance · Vietnam EMBA</t>
  </si>
  <si>
    <t>Performance Ratios — Excel Template</t>
  </si>
  <si>
    <t>How to Use This Template</t>
  </si>
  <si>
    <t>1.</t>
  </si>
  <si>
    <t>Enter prior-year and current-year balance-sheet figures on the Balance Sheet tab (Stage 3 task).</t>
  </si>
  <si>
    <t>2.</t>
  </si>
  <si>
    <t>Enter current-year income-statement figures on the Income Statement tab (Stage 3 task).</t>
  </si>
  <si>
    <t>3.</t>
  </si>
  <si>
    <t>Enter current-year cash-flow items on the Cash Flow Statement tab (Stage 3 task).</t>
  </si>
  <si>
    <t>4.</t>
  </si>
  <si>
    <t>On the Ratios tab, enter the four analyst assumptions at top: share price, shares outstanding, cost of capital, tax rate.</t>
  </si>
  <si>
    <t>5.</t>
  </si>
  <si>
    <t>Ratio outputs populate automatically in the Outputs section of the Ratios tab — no manual ratio computation required.</t>
  </si>
  <si>
    <t>6.</t>
  </si>
  <si>
    <t>Document company metadata, data source, and AI usage on the Notes tab.</t>
  </si>
  <si>
    <t>Color Key</t>
  </si>
  <si>
    <t>Style</t>
  </si>
  <si>
    <t>Meaning</t>
  </si>
  <si>
    <t>Sample</t>
  </si>
  <si>
    <t>Yellow background — DATA INPUTS. Numbers pulled from 10-K / financial statements. Overwrite with your company's figures.</t>
  </si>
  <si>
    <t>12.3%</t>
  </si>
  <si>
    <t>Light-blue background + blue text — ASSUMPTIONS. Analyst inputs: share price, shares outstanding, WACC, tax rate, fiscal years.</t>
  </si>
  <si>
    <t>f(x)</t>
  </si>
  <si>
    <t>Green text — FORMULAS. Cross-sheet references and derived calculations. Do not overwrite.</t>
  </si>
  <si>
    <t>1.23x</t>
  </si>
  <si>
    <t>Gray background — RATIO OUTPUTS. Computed values in the Ratios tab. Do not overwrite.</t>
  </si>
  <si>
    <t>Named-Range Convention</t>
  </si>
  <si>
    <t>Prefix / Pattern</t>
  </si>
  <si>
    <t>BAL_[item]_[yr]</t>
  </si>
  <si>
    <t>Balance-sheet line items, suffixed with fiscal year (e.g., BAL_assets_total_2024).</t>
  </si>
  <si>
    <t>INC_[item]</t>
  </si>
  <si>
    <t>Income-statement items (e.g., INC_sales, INC_ebit, INC_net).</t>
  </si>
  <si>
    <t>CASH_[item]</t>
  </si>
  <si>
    <t>Cash-flow items (e.g., CASH_operating).</t>
  </si>
  <si>
    <t>share_price, shares_outstanding, cost_capital, tax_rate</t>
  </si>
  <si>
    <t>Analyst assumptions (no prefix).</t>
  </si>
  <si>
    <t>startYear_[item]</t>
  </si>
  <si>
    <t>Alias for prior-year balance (e.g., startYear_equity ≡ BAL_equity_shareholders_prior).</t>
  </si>
  <si>
    <t>currentYear_[item]</t>
  </si>
  <si>
    <t>Alias for current-year balance or derived current-year figure.</t>
  </si>
  <si>
    <t>avg_[item]</t>
  </si>
  <si>
    <t>Mean of start-of-year and current-year (e.g., avg_equity).</t>
  </si>
  <si>
    <t>RATIO_[name]</t>
  </si>
  <si>
    <t>Key ratios reused in Du Pont decomposition (asset_turnover, operating_profit_margin, leverage, debt_burden).</t>
  </si>
  <si>
    <t>Companion Specification</t>
  </si>
  <si>
    <t>See:</t>
  </si>
  <si>
    <t>docs/templates/spec-template.md (repo-level)</t>
  </si>
  <si>
    <t>Course:</t>
  </si>
  <si>
    <t>courses/BUS-629-VEMBA-International-Corporate-Finance/</t>
  </si>
  <si>
    <t>Prepared per UH Mānoa brand standards (docs/_branding/design.json). Primary green #024731 · Open Sans typography · ADA-compliant contrast.</t>
  </si>
  <si>
    <t>Balance Sheet</t>
  </si>
  <si>
    <t>All figures in $millions unless otherwise noted</t>
  </si>
  <si>
    <t>ASSETS</t>
  </si>
  <si>
    <t>FY Current</t>
  </si>
  <si>
    <t>FY Prior</t>
  </si>
  <si>
    <t>LIABILITIES &amp; EQUITY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</si>
  <si>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</si>
  <si>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</si>
  <si>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</si>
  <si>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</si>
  <si>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</si>
  <si>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</si>
  <si>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Other current liabilities</t>
  </si>
  <si>
    <t>Other current assets</t>
  </si>
  <si>
    <t xml:space="preserve">   Total current liabilities</t>
  </si>
  <si>
    <t xml:space="preserve">   Total current assets</t>
  </si>
  <si>
    <t>Fixed Assets</t>
  </si>
  <si>
    <t>Other long-term liabilities</t>
  </si>
  <si>
    <t>Property, plant, and equipment</t>
  </si>
  <si>
    <t>Less accumulated depreciation</t>
  </si>
  <si>
    <t>Total Liabilities</t>
  </si>
  <si>
    <t xml:space="preserve">   Net tangible fixed assets</t>
  </si>
  <si>
    <t>SHAREHOLDERS' EQUITY</t>
  </si>
  <si>
    <t>Other Assets</t>
  </si>
  <si>
    <t>Common stock and paid-in capital</t>
  </si>
  <si>
    <t>Intangible assets (goodwill)</t>
  </si>
  <si>
    <t>Retained earnings</t>
  </si>
  <si>
    <t>Other assets</t>
  </si>
  <si>
    <t xml:space="preserve">   Total shareholders' equity</t>
  </si>
  <si>
    <t>Total Assets</t>
  </si>
  <si>
    <t>Total Liabilities + Equity</t>
  </si>
  <si>
    <t>Income Statement</t>
  </si>
  <si>
    <t>Line Item</t>
  </si>
  <si>
    <t>Amount</t>
  </si>
  <si>
    <t>% of Sales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</si>
  <si>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</si>
  <si>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</si>
  <si>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</si>
  <si>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</si>
  <si>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taxes (EBIT)</t>
  </si>
  <si>
    <t>plus Other income</t>
  </si>
  <si>
    <t>less Interest expense</t>
  </si>
  <si>
    <t xml:space="preserve"> 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</si>
  <si>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</si>
  <si>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</si>
  <si>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</si>
  <si>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</si>
  <si>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</si>
  <si>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Cash Flow Statement</t>
  </si>
  <si>
    <t>Source / Notes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</si>
  <si>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</si>
  <si>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</si>
  <si>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</si>
  <si>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</si>
  <si>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</si>
  <si>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</si>
  <si>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</si>
  <si>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</si>
  <si>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</si>
  <si>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</si>
  <si>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</si>
  <si>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</si>
  <si>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</si>
  <si>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</si>
  <si>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</si>
  <si>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</si>
  <si>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</si>
  <si>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</si>
  <si>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</si>
  <si>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</si>
  <si>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</si>
  <si>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 paid</t>
  </si>
  <si>
    <t>plus Issues (repurchases) of stock</t>
  </si>
  <si>
    <t>plus Other</t>
  </si>
  <si>
    <t xml:space="preserve">   Cash provided by (used for) financing</t>
  </si>
  <si>
    <t>Net increase (decrease) in cash</t>
  </si>
  <si>
    <t>Notes &amp; Assumptions</t>
  </si>
  <si>
    <t>Company</t>
  </si>
  <si>
    <t>[Your Company Name]</t>
  </si>
  <si>
    <t>Ticker</t>
  </si>
  <si>
    <t>[TICKER]</t>
  </si>
  <si>
    <t>Industry</t>
  </si>
  <si>
    <t>[Industry]</t>
  </si>
  <si>
    <t>Fiscal Year (current)</t>
  </si>
  <si>
    <t>[FYYYYY]</t>
  </si>
  <si>
    <t>Fiscal Year (prior)</t>
  </si>
  <si>
    <t>Units</t>
  </si>
  <si>
    <t>Tax Rate</t>
  </si>
  <si>
    <t>[Statutory 21% / Effective rate from financials — and why]</t>
  </si>
  <si>
    <t>Cost of Capital</t>
  </si>
  <si>
    <t>[X.X% — source/method, e.g., CAPM, class working WACC]</t>
  </si>
  <si>
    <t>Share Price</t>
  </si>
  <si>
    <t>[FY-end closing price]</t>
  </si>
  <si>
    <t>Shares Outstanding</t>
  </si>
  <si>
    <t>[M shares — diluted weighted avg]</t>
  </si>
  <si>
    <t>BUS-629 Project Use</t>
  </si>
  <si>
    <t>Template for the Accounting &amp; Performance Ratios project</t>
  </si>
  <si>
    <t>Stage 2 Task</t>
  </si>
  <si>
    <t>Upload your copy of this template to your repo at models/templates/.</t>
  </si>
  <si>
    <t>Stage 3 Task</t>
  </si>
  <si>
    <t>Populate Balance Sheet, Income Statement, and Cash Flow with your selected company’s figures; enter the four assumptions on the Ratios tab; then compute all ratios in column C using the named-range formulas shown in column D.</t>
  </si>
  <si>
    <t>Stage 4 Task</t>
  </si>
  <si>
    <t>Use an LLM to draft a technical specification (spec-template.md) covering this model and the analysis it should produce.</t>
  </si>
  <si>
    <t>AI Usage</t>
  </si>
  <si>
    <t>Execute spec with LLM; evaluate output; ship final analysis as part of polished portfolio repo.</t>
  </si>
  <si>
    <t>Self-checks</t>
  </si>
  <si>
    <t>Du Pont ROA</t>
  </si>
  <si>
    <t>Du Pont ROA (Ratios!C75) is mathematically identical to direct ROA (Ratios!C47). The inline check on Ratios!F75 confirms the match — investigate any discrepancy before submitting.</t>
  </si>
  <si>
    <t>Du Pont ROE</t>
  </si>
  <si>
    <t>Du Pont ROE (Ratios!C76) will not exactly equal direct ROE (Ratios!C49) in this model: the leverage component uses current-year balances while asset turnover uses prior-year assets. Explain this time-mismatch in your Stage 4 memo.</t>
  </si>
  <si>
    <t>Inventories (licensed copyrights)</t>
  </si>
  <si>
    <t>Current fiscal year · figures in $thousands</t>
  </si>
  <si>
    <t>All figures in $thousands unless otherwise noted</t>
  </si>
  <si>
    <t>Effect of exchange rate changes on cash</t>
  </si>
  <si>
    <t>iQIYI, Inc.</t>
  </si>
  <si>
    <t>IQ (Nasdaq Global Select Market)</t>
  </si>
  <si>
    <t>Online Entertainment Video Services / Streaming (China)</t>
  </si>
  <si>
    <t>FY2025 (fiscal year ended December 31, 2025)</t>
  </si>
  <si>
    <t>FY2024 (fiscal year ended December 31, 2024)</t>
  </si>
  <si>
    <t>All figures in RMB thousands (RMB '000) unless otherwise noted. USD figures translated at RMB6.9956 = US$1.00 (Dec 31, 2025 rate per 20-F).</t>
  </si>
  <si>
    <t>25% PRC statutory rate. Key entities (Beijing QIYI Century, Shanghai Zhong Yuan, Beijing iQIYI) qualify for 15% preferential HNTE rate, valid through 2026–2028. Effective rate not meaningful as FY2025 is pre-tax loss (RMB59.5M loss before tax, RMB144.5M tax expense). Using 25% statutory as conservative model assumption.</t>
  </si>
  <si>
    <t>9.0% — analyst assumption (CAPM-based; reflects PRC country risk + streaming sector beta). Not directly stated in 20-F.</t>
  </si>
  <si>
    <t>US$1.18 per ADS — Dec 31, 2025 closing price (per Ratios tab). 1 ADS = 7 Class A ordinary shares (par value US$0.00001).</t>
  </si>
  <si>
    <t>6,754,381,564 total ordinary shares outstanding as of Dec 31, 2025 (3,713,284,286 Class A + 3,041,097,278 Class B). ADS equivalent: ~964,912K ADS (÷7). Diluted weighted-avg shares used in EPS: 6,746,355,442.</t>
  </si>
  <si>
    <t>Done</t>
  </si>
  <si>
    <t>In progress</t>
  </si>
  <si>
    <t>Done
https://github.com/duyphuonglt-gif/Corporate-Finance-/blob/main/models/builds/2026-05-14-phuong-iqiyi-financials.xlsx</t>
  </si>
  <si>
    <t>plus Other non-cash adjustments</t>
  </si>
  <si>
    <t>[20-F: provision for credit losses, unrealized FX, accretion on notes, barter, SBC, equity method, impairments, deferred tax, other]</t>
  </si>
  <si>
    <t>CF Depreciation correction</t>
  </si>
  <si>
    <t>Cash Flow Statement row 8 corrected from 13,363,219 → 13,264,120 (pure D&amp;A only: fixed assets 138,337 + intangibles 75,634 + licensed copyrights 6,137,566 + produced content 6,912,583 = 13,264,120). Bundled non-cash items (99,099) moved to new row 9 'Other non-cash adjustments'. Net cash from operations unchanged at 105,801.</t>
  </si>
  <si>
    <t>Source: SEC EDGAR Form 20-F FY2025, Consolidated Statements of Cash Flows (F-8 to F-9)</t>
  </si>
  <si>
    <t>PP&amp;E reported net in 20-F Note 11; gross cost &amp; accumulated depreciation not disclosed separately in primary statements.</t>
  </si>
  <si>
    <t>Net PP&amp;E = gross cost less accumulated depreciation (combined). See 20-F Note 11 for asset category breakdown.</t>
  </si>
  <si>
    <t>Shares outstanding ('000 ADS)</t>
  </si>
  <si>
    <t>1 ADS = 7 Class A ordinary shares. 6,754,381,564 total ordinary shares ÷ 7 = ~964,912K ADS. Ratios tab uses diluted wt-avg basis: 6,746,355,442 ord. shares ÷ 7 = 963,765K ADS ≈ 962,959K ADS entered. Share price US$1.18; market cap = 1.18 × 962,959 = US$1,136,292K (~US$1.1B).</t>
  </si>
  <si>
    <t>(INC_ebit + CF_depreciation_amortization) / INC_interest_expense</t>
  </si>
  <si>
    <t>CF_depreciation_amortization = total D&amp;A from CF Statement (13,264,120); D&amp;A not broken out on IS as iQIYI embeds it in cost lines</t>
  </si>
  <si>
    <t>Data Source &amp; Filing Type</t>
  </si>
  <si>
    <t>SEC EDGAR — Form 20-F (FY2025), CIK 1722608.
URL: https://www.sec.gov/Archives/edgar/data/1722608/000119312526107079/iq-20251231.htm
NOTE — Non-US Filing: Form 20-F is the SEC annual report for Foreign Private Issuers; it is the functional equivalent of a Form 10-K for non-US companies listed on US exchanges. iQIYI, Inc. is a Cayman Islands-incorporated company with principal operations in the PRC, listed on Nasdaq as a Foreign Private Issuer.</t>
  </si>
  <si>
    <t>SEC EDGAR 20-F URL / accession 000119312526107079</t>
  </si>
  <si>
    <t>Reporting Standard</t>
  </si>
  <si>
    <t>US GAAP (United States Generally Accepted Accounting Principles), as required for SEC registrants filing on Form 20-F. Financial statements prepared in accordance with FASB ASC standards. iQIYI elected to use US GAAP rather than IFRS as permitted for Foreign Private Issuers.</t>
  </si>
  <si>
    <t>Source: 20-F Cover Page — 'The financial statements are prepared in accordance with US GAAP'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</si>
</sst>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24" x14ac:knownFonts="1">
    <font>
      <sz val="11"/>
      <color theme="1"/>
      <name val="Calibri"/>
      <family val="2"/>
      <scheme val="minor"/>
    </font>
    <font>
      <b/>
      <sz val="9"/>
      <color rgb="FF024731"/>
      <name val="Open Sans"/>
    </font>
    <font>
      <b/>
      <sz val="18"/>
      <color rgb="FF000000"/>
      <name val="Open Sans"/>
    </font>
    <font>
      <sz val="12"/>
      <color rgb="FF525252"/>
      <name val="Open Sans"/>
    </font>
    <font>
      <b/>
      <sz val="13"/>
      <color rgb="FF024731"/>
      <name val="Open Sans"/>
    </font>
    <font>
      <b/>
      <sz val="10"/>
      <color rgb="FF024731"/>
      <name val="Open Sans"/>
    </font>
    <font>
      <sz val="10"/>
      <color rgb="FF000000"/>
      <name val="Open Sans"/>
    </font>
    <font>
      <b/>
      <sz val="11"/>
      <color rgb="FFFFFFFF"/>
      <name val="Open Sans"/>
    </font>
    <font>
      <b/>
      <sz val="10"/>
      <color rgb="FF0000FF"/>
      <name val="Open Sans"/>
    </font>
    <font>
      <sz val="10"/>
      <color rgb="FF008000"/>
      <name val="Open Sans"/>
    </font>
    <font>
      <b/>
      <sz val="10"/>
      <color rgb="FF000000"/>
      <name val="Open Sans"/>
    </font>
    <font>
      <sz val="10"/>
      <color rgb="FF525252"/>
      <name val="Consolas"/>
      <family val="3"/>
    </font>
    <font>
      <i/>
      <sz val="8"/>
      <color rgb="FF525252"/>
      <name val="Open Sans"/>
    </font>
    <font>
      <b/>
      <sz val="16"/>
      <color rgb="FF024731"/>
      <name val="Open Sans"/>
    </font>
    <font>
      <i/>
      <sz val="9"/>
      <color rgb="FF525252"/>
      <name val="Open Sans"/>
    </font>
    <font>
      <i/>
      <sz val="10"/>
      <color rgb="FF525252"/>
      <name val="Open Sans"/>
    </font>
    <font>
      <sz val="9"/>
      <color rgb="FF525252"/>
      <name val="Consolas"/>
      <family val="3"/>
    </font>
    <font>
      <b/>
      <sz val="11"/>
      <color rgb="FF024731"/>
      <name val="Open Sans"/>
    </font>
    <font>
      <sz val="10"/>
      <color rgb="FF024731"/>
      <name val="Open San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FF"/>
      <name val="Open Sans"/>
    </font>
    <font>
      <i/>
      <sz val="8"/>
      <color rgb="FF80808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7" fillId="2" borderId="0" xfId="0" applyFont="1" applyFill="1"/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5" fillId="0" borderId="0" xfId="0" applyFont="1"/>
    <xf numFmtId="164" fontId="6" fillId="4" borderId="1" xfId="0" applyNumberFormat="1" applyFont="1" applyFill="1" applyBorder="1"/>
    <xf numFmtId="0" fontId="10" fillId="0" borderId="0" xfId="0" applyFont="1"/>
    <xf numFmtId="164" fontId="10" fillId="6" borderId="1" xfId="0" applyNumberFormat="1" applyFont="1" applyFill="1" applyBorder="1"/>
    <xf numFmtId="164" fontId="7" fillId="2" borderId="0" xfId="0" applyNumberFormat="1" applyFont="1" applyFill="1"/>
    <xf numFmtId="0" fontId="7" fillId="2" borderId="1" xfId="0" applyFont="1" applyFill="1" applyBorder="1"/>
    <xf numFmtId="165" fontId="9" fillId="0" borderId="0" xfId="0" applyNumberFormat="1" applyFont="1"/>
    <xf numFmtId="166" fontId="9" fillId="0" borderId="0" xfId="0" applyNumberFormat="1" applyFont="1"/>
    <xf numFmtId="166" fontId="7" fillId="2" borderId="0" xfId="0" applyNumberFormat="1" applyFont="1" applyFill="1"/>
    <xf numFmtId="164" fontId="9" fillId="0" borderId="0" xfId="0" applyNumberFormat="1" applyFont="1"/>
    <xf numFmtId="0" fontId="15" fillId="0" borderId="0" xfId="0" applyFont="1"/>
    <xf numFmtId="1" fontId="8" fillId="5" borderId="1" xfId="0" applyNumberFormat="1" applyFont="1" applyFill="1" applyBorder="1"/>
    <xf numFmtId="0" fontId="16" fillId="0" borderId="0" xfId="0" applyFont="1"/>
    <xf numFmtId="1" fontId="9" fillId="0" borderId="1" xfId="0" applyNumberFormat="1" applyFont="1" applyBorder="1"/>
    <xf numFmtId="167" fontId="8" fillId="5" borderId="1" xfId="0" applyNumberFormat="1" applyFont="1" applyFill="1" applyBorder="1"/>
    <xf numFmtId="3" fontId="8" fillId="5" borderId="1" xfId="0" applyNumberFormat="1" applyFont="1" applyFill="1" applyBorder="1"/>
    <xf numFmtId="165" fontId="8" fillId="5" borderId="1" xfId="0" applyNumberFormat="1" applyFont="1" applyFill="1" applyBorder="1"/>
    <xf numFmtId="3" fontId="9" fillId="0" borderId="1" xfId="0" applyNumberFormat="1" applyFont="1" applyBorder="1"/>
    <xf numFmtId="164" fontId="9" fillId="0" borderId="1" xfId="0" applyNumberFormat="1" applyFont="1" applyBorder="1"/>
    <xf numFmtId="168" fontId="9" fillId="0" borderId="1" xfId="0" applyNumberFormat="1" applyFont="1" applyBorder="1"/>
    <xf numFmtId="164" fontId="6" fillId="6" borderId="1" xfId="0" applyNumberFormat="1" applyFont="1" applyFill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70" fontId="6" fillId="6" borderId="1" xfId="0" applyNumberFormat="1" applyFont="1" applyFill="1" applyBorder="1" applyAlignment="1">
      <alignment horizontal="right"/>
    </xf>
    <xf numFmtId="171" fontId="6" fillId="6" borderId="1" xfId="0" applyNumberFormat="1" applyFont="1" applyFill="1" applyBorder="1" applyAlignment="1">
      <alignment horizontal="right"/>
    </xf>
    <xf numFmtId="0" fontId="10" fillId="0" borderId="0" xfId="0" applyFont="1" applyAlignment="1">
      <alignment vertical="top"/>
    </xf>
    <xf numFmtId="49" fontId="18" fillId="6" borderId="0" xfId="0" applyNumberFormat="1" applyFont="1" applyFill="1" applyAlignment="1">
      <alignment horizontal="left" vertical="center"/>
    </xf>
    <xf numFmtId="164" fontId="6" fillId="4" borderId="0" xfId="0" applyNumberFormat="1" applyFont="1" applyFill="1"/>
    <xf numFmtId="0" fontId="10" fillId="0" borderId="0" xfId="0" applyFont="1" applyAlignment="1">
      <alignment vertical="top" wrapText="1"/>
    </xf>
    <xf numFmtId="164" fontId="21" fillId="0" borderId="0" xfId="0" applyNumberFormat="1" applyFont="1"/>
    <xf numFmtId="0" fontId="22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2" fillId="0" borderId="0" xfId="0" applyFont="1" applyAlignment="1">
      <alignment wrapText="1"/>
    </xf>
    <xf numFmtId="0" fontId="17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E66B9-B1B1-7C43-8685-CD563AF5FAC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c165991-9a88-441c-be4a-ce298390d2a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1"/>
  <sheetViews>
    <sheetView showGridLines="0" zoomScale="125" workbookViewId="0">
      <selection activeCell="C14" sqref="C14"/>
    </sheetView>
  </sheetViews>
  <sheetFormatPr baseColWidth="10" defaultColWidth="8.83203125" defaultRowHeight="15" x14ac:dyDescent="0.2"/>
  <cols>
    <col min="1" max="1" width="2" customWidth="1"/>
    <col min="2" max="2" width="28" customWidth="1"/>
    <col min="3" max="3" width="70" customWidth="1"/>
    <col min="4" max="4" width="2" customWidth="1"/>
  </cols>
  <sheetData>
    <row r="2" spans="2:3" ht="8" customHeight="1" x14ac:dyDescent="0.2">
      <c r="B2" s="1"/>
      <c r="C2" s="1"/>
    </row>
    <row r="4" spans="2:3" x14ac:dyDescent="0.2">
      <c r="B4" s="49" t="s">
        <v>155</v>
      </c>
      <c r="C4" s="50"/>
    </row>
    <row r="5" spans="2:3" ht="26" customHeight="1" x14ac:dyDescent="0.3">
      <c r="B5" s="53" t="s">
        <v>156</v>
      </c>
      <c r="C5" s="50"/>
    </row>
    <row r="6" spans="2:3" ht="18" customHeight="1" x14ac:dyDescent="0.2">
      <c r="B6" s="51" t="s">
        <v>157</v>
      </c>
      <c r="C6" s="50"/>
    </row>
    <row r="7" spans="2:3" ht="4" customHeight="1" x14ac:dyDescent="0.2">
      <c r="B7" s="2"/>
      <c r="C7" s="2"/>
    </row>
    <row r="9" spans="2:3" ht="19.5" customHeight="1" x14ac:dyDescent="0.2">
      <c r="B9" s="52" t="s">
        <v>158</v>
      </c>
      <c r="C9" s="50"/>
    </row>
    <row r="10" spans="2:3" ht="18" customHeight="1" x14ac:dyDescent="0.2">
      <c r="B10" s="3" t="s">
        <v>159</v>
      </c>
      <c r="C10" s="4" t="s">
        <v>160</v>
      </c>
    </row>
    <row r="11" spans="2:3" ht="18" customHeight="1" x14ac:dyDescent="0.2">
      <c r="B11" s="3" t="s">
        <v>161</v>
      </c>
      <c r="C11" s="4" t="s">
        <v>162</v>
      </c>
    </row>
    <row r="12" spans="2:3" ht="18" customHeight="1" x14ac:dyDescent="0.2">
      <c r="B12" s="3" t="s">
        <v>163</v>
      </c>
      <c r="C12" s="4" t="s">
        <v>164</v>
      </c>
    </row>
    <row r="13" spans="2:3" ht="18" customHeight="1" x14ac:dyDescent="0.2">
      <c r="B13" s="3" t="s">
        <v>165</v>
      </c>
      <c r="C13" s="4" t="s">
        <v>166</v>
      </c>
    </row>
    <row r="14" spans="2:3" ht="18" customHeight="1" x14ac:dyDescent="0.2">
      <c r="B14" s="3" t="s">
        <v>167</v>
      </c>
      <c r="C14" s="4" t="s">
        <v>168</v>
      </c>
    </row>
    <row r="15" spans="2:3" ht="18" customHeight="1" x14ac:dyDescent="0.2">
      <c r="B15" s="3" t="s">
        <v>169</v>
      </c>
      <c r="C15" s="4" t="s">
        <v>170</v>
      </c>
    </row>
    <row r="17" spans="2:3" ht="19.5" customHeight="1" x14ac:dyDescent="0.2">
      <c r="B17" s="52" t="s">
        <v>171</v>
      </c>
      <c r="C17" s="50"/>
    </row>
    <row r="18" spans="2:3" ht="16.5" customHeight="1" x14ac:dyDescent="0.2">
      <c r="B18" s="5" t="s">
        <v>172</v>
      </c>
      <c r="C18" s="5" t="s">
        <v>173</v>
      </c>
    </row>
    <row r="19" spans="2:3" ht="30" customHeight="1" x14ac:dyDescent="0.2">
      <c r="B19" s="6" t="s">
        <v>174</v>
      </c>
      <c r="C19" s="7" t="s">
        <v>175</v>
      </c>
    </row>
    <row r="20" spans="2:3" ht="30" customHeight="1" x14ac:dyDescent="0.2">
      <c r="B20" s="8" t="s">
        <v>176</v>
      </c>
      <c r="C20" s="7" t="s">
        <v>177</v>
      </c>
    </row>
    <row r="21" spans="2:3" ht="30" customHeight="1" x14ac:dyDescent="0.2">
      <c r="B21" s="9" t="s">
        <v>178</v>
      </c>
      <c r="C21" s="7" t="s">
        <v>179</v>
      </c>
    </row>
    <row r="22" spans="2:3" ht="30" customHeight="1" x14ac:dyDescent="0.2">
      <c r="B22" s="10" t="s">
        <v>180</v>
      </c>
      <c r="C22" s="7" t="s">
        <v>181</v>
      </c>
    </row>
    <row r="24" spans="2:3" ht="19.5" customHeight="1" x14ac:dyDescent="0.2">
      <c r="B24" s="52" t="s">
        <v>182</v>
      </c>
      <c r="C24" s="50"/>
    </row>
    <row r="25" spans="2:3" ht="16.5" customHeight="1" x14ac:dyDescent="0.2">
      <c r="B25" s="5" t="s">
        <v>183</v>
      </c>
      <c r="C25" s="5" t="s">
        <v>173</v>
      </c>
    </row>
    <row r="26" spans="2:3" ht="24" customHeight="1" x14ac:dyDescent="0.2">
      <c r="B26" s="11" t="s">
        <v>184</v>
      </c>
      <c r="C26" s="7" t="s">
        <v>185</v>
      </c>
    </row>
    <row r="27" spans="2:3" ht="24" customHeight="1" x14ac:dyDescent="0.2">
      <c r="B27" s="11" t="s">
        <v>186</v>
      </c>
      <c r="C27" s="7" t="s">
        <v>187</v>
      </c>
    </row>
    <row r="28" spans="2:3" ht="24" customHeight="1" x14ac:dyDescent="0.2">
      <c r="B28" s="11" t="s">
        <v>188</v>
      </c>
      <c r="C28" s="7" t="s">
        <v>189</v>
      </c>
    </row>
    <row r="29" spans="2:3" ht="24" customHeight="1" x14ac:dyDescent="0.2">
      <c r="B29" s="11" t="s">
        <v>190</v>
      </c>
      <c r="C29" s="7" t="s">
        <v>191</v>
      </c>
    </row>
    <row r="30" spans="2:3" ht="24" customHeight="1" x14ac:dyDescent="0.2">
      <c r="B30" s="11" t="s">
        <v>192</v>
      </c>
      <c r="C30" s="7" t="s">
        <v>193</v>
      </c>
    </row>
    <row r="31" spans="2:3" ht="24" customHeight="1" x14ac:dyDescent="0.2">
      <c r="B31" s="11" t="s">
        <v>194</v>
      </c>
      <c r="C31" s="7" t="s">
        <v>195</v>
      </c>
    </row>
    <row r="32" spans="2:3" ht="24" customHeight="1" x14ac:dyDescent="0.2">
      <c r="B32" s="11" t="s">
        <v>196</v>
      </c>
      <c r="C32" s="7" t="s">
        <v>197</v>
      </c>
    </row>
    <row r="33" spans="2:3" ht="24" customHeight="1" x14ac:dyDescent="0.2">
      <c r="B33" s="11" t="s">
        <v>198</v>
      </c>
      <c r="C33" s="7" t="s">
        <v>199</v>
      </c>
    </row>
    <row r="36" spans="2:3" ht="19.5" customHeight="1" x14ac:dyDescent="0.2">
      <c r="B36" s="52" t="s">
        <v>200</v>
      </c>
      <c r="C36" s="50"/>
    </row>
    <row r="37" spans="2:3" ht="15" customHeight="1" x14ac:dyDescent="0.2">
      <c r="B37" s="12" t="s">
        <v>201</v>
      </c>
      <c r="C37" s="13" t="s">
        <v>202</v>
      </c>
    </row>
    <row r="38" spans="2:3" ht="15" customHeight="1" x14ac:dyDescent="0.2">
      <c r="B38" s="12" t="s">
        <v>203</v>
      </c>
      <c r="C38" s="13" t="s">
        <v>204</v>
      </c>
    </row>
    <row r="41" spans="2:3" x14ac:dyDescent="0.2">
      <c r="B41" s="54" t="s">
        <v>205</v>
      </c>
      <c r="C41" s="50"/>
    </row>
  </sheetData>
  <mergeCells count="8">
    <mergeCell ref="B4:C4"/>
    <mergeCell ref="B6:C6"/>
    <mergeCell ref="B24:C24"/>
    <mergeCell ref="B5:C5"/>
    <mergeCell ref="B41:C41"/>
    <mergeCell ref="B36:C36"/>
    <mergeCell ref="B17:C17"/>
    <mergeCell ref="B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30" sqref="D30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4" width="16" customWidth="1"/>
    <col min="5" max="5" width="13.6640625" customWidth="1"/>
    <col min="6" max="6" width="38" customWidth="1"/>
    <col min="7" max="8" width="16" customWidth="1"/>
  </cols>
  <sheetData>
    <row r="2" spans="2:8" ht="23" customHeight="1" x14ac:dyDescent="0.3">
      <c r="B2" s="14" t="s">
        <v>206</v>
      </c>
    </row>
    <row r="3" spans="2:8" x14ac:dyDescent="0.2">
      <c r="B3" s="15" t="s">
        <v>318</v>
      </c>
    </row>
    <row r="5" spans="2:8" ht="16.5" customHeight="1" x14ac:dyDescent="0.2">
      <c r="B5" s="16" t="s">
        <v>208</v>
      </c>
      <c r="C5" s="17" t="s">
        <v>209</v>
      </c>
      <c r="D5" s="17" t="s">
        <v>210</v>
      </c>
      <c r="F5" s="16" t="s">
        <v>211</v>
      </c>
      <c r="G5" s="17" t="s">
        <v>209</v>
      </c>
      <c r="H5" s="17" t="s">
        <v>210</v>
      </c>
    </row>
    <row r="6" spans="2:8" ht="15" customHeight="1" x14ac:dyDescent="0.2">
      <c r="B6" s="18" t="s">
        <v>212</v>
      </c>
      <c r="F6" s="18" t="s">
        <v>213</v>
      </c>
    </row>
    <row r="7" spans="2:8" ht="15" customHeight="1" x14ac:dyDescent="0.2">
      <c r="B7" s="12" t="s">
        <v>214</v>
      </c>
      <c r="C7" s="19">
        <v>4354275</v>
      </c>
      <c r="D7" s="19">
        <v>3529679</v>
      </c>
      <c r="F7" s="12" t="s">
        <v>215</v>
      </c>
      <c r="G7" s="19">
        <v>4690642</v>
      </c>
      <c r="H7" s="19">
        <v>4197348</v>
      </c>
    </row>
    <row r="8" spans="2:8" ht="15" customHeight="1" x14ac:dyDescent="0.2">
      <c r="B8" s="12" t="s">
        <v>216</v>
      </c>
      <c r="C8" s="19">
        <v>2522668</v>
      </c>
      <c r="D8" s="19">
        <v>2191178</v>
      </c>
      <c r="F8" s="12" t="s">
        <v>217</v>
      </c>
      <c r="G8" s="19">
        <v>6652432</v>
      </c>
      <c r="H8" s="19">
        <v>6482209</v>
      </c>
    </row>
    <row r="9" spans="2:8" ht="15" customHeight="1" x14ac:dyDescent="0.2">
      <c r="B9" s="12" t="s">
        <v>316</v>
      </c>
      <c r="C9" s="19">
        <v>447507</v>
      </c>
      <c r="D9" s="19">
        <v>388718</v>
      </c>
      <c r="F9" s="12" t="s">
        <v>218</v>
      </c>
      <c r="G9" s="19">
        <v>10724233</v>
      </c>
      <c r="H9" s="19">
        <v>10797776</v>
      </c>
    </row>
    <row r="10" spans="2:8" ht="15" customHeight="1" x14ac:dyDescent="0.2">
      <c r="B10" s="12" t="s">
        <v>219</v>
      </c>
      <c r="C10" s="19">
        <v>2965845</v>
      </c>
      <c r="D10" s="19">
        <v>3417661</v>
      </c>
      <c r="F10" s="20" t="s">
        <v>220</v>
      </c>
      <c r="G10" s="21">
        <f>SUM(G7:G9)</f>
        <v>22067307</v>
      </c>
      <c r="H10" s="21">
        <f>SUM(H7:H9)</f>
        <v>21477333</v>
      </c>
    </row>
    <row r="11" spans="2:8" ht="15" customHeight="1" x14ac:dyDescent="0.2">
      <c r="B11" s="20" t="s">
        <v>221</v>
      </c>
      <c r="C11" s="21">
        <f>SUM(C7:C10)</f>
        <v>10290295</v>
      </c>
      <c r="D11" s="21">
        <f>SUM(D7:D10)</f>
        <v>9527236</v>
      </c>
    </row>
    <row r="12" spans="2:8" ht="15" customHeight="1" x14ac:dyDescent="0.2">
      <c r="F12" s="12" t="s">
        <v>59</v>
      </c>
      <c r="G12" s="19">
        <v>10080824</v>
      </c>
      <c r="H12" s="19">
        <v>9387405</v>
      </c>
    </row>
    <row r="13" spans="2:8" ht="15" customHeight="1" x14ac:dyDescent="0.2">
      <c r="B13" s="18" t="s">
        <v>222</v>
      </c>
      <c r="F13" s="12" t="s">
        <v>223</v>
      </c>
      <c r="G13" s="19">
        <v>1224678</v>
      </c>
      <c r="H13" s="19">
        <v>1522023</v>
      </c>
    </row>
    <row r="14" spans="2:8" ht="15" customHeight="1" x14ac:dyDescent="0.2">
      <c r="B14" s="12" t="s">
        <v>224</v>
      </c>
      <c r="C14" s="19">
        <v>903427</v>
      </c>
      <c r="D14" s="19">
        <v>877982</v>
      </c>
    </row>
    <row r="15" spans="2:8" ht="15" customHeight="1" x14ac:dyDescent="0.2">
      <c r="B15" s="12" t="s">
        <v>225</v>
      </c>
      <c r="C15" s="19">
        <v>0</v>
      </c>
      <c r="D15" s="19">
        <v>0</v>
      </c>
      <c r="E15" s="48" t="s">
        <v>338</v>
      </c>
      <c r="F15" s="20" t="s">
        <v>226</v>
      </c>
      <c r="G15" s="21">
        <f>G10+G12+G13</f>
        <v>33372809</v>
      </c>
      <c r="H15" s="21">
        <f>H10+H12+H13</f>
        <v>32386761</v>
      </c>
    </row>
    <row r="16" spans="2:8" ht="15" customHeight="1" x14ac:dyDescent="0.2">
      <c r="B16" s="20" t="s">
        <v>227</v>
      </c>
      <c r="C16" s="21">
        <f>C14-C15</f>
        <v>903427</v>
      </c>
      <c r="D16" s="21">
        <f>D14-D15</f>
        <v>877982</v>
      </c>
      <c r="E16" s="48" t="s">
        <v>339</v>
      </c>
    </row>
    <row r="17" spans="2:8" ht="15" customHeight="1" x14ac:dyDescent="0.2">
      <c r="F17" s="18" t="s">
        <v>228</v>
      </c>
    </row>
    <row r="18" spans="2:8" ht="15" customHeight="1" x14ac:dyDescent="0.2">
      <c r="B18" s="18" t="s">
        <v>229</v>
      </c>
      <c r="F18" s="12" t="s">
        <v>230</v>
      </c>
      <c r="G18" s="19">
        <v>56026664</v>
      </c>
      <c r="H18" s="19">
        <v>55624272</v>
      </c>
    </row>
    <row r="19" spans="2:8" ht="15" customHeight="1" x14ac:dyDescent="0.2">
      <c r="B19" s="12" t="s">
        <v>231</v>
      </c>
      <c r="C19" s="19">
        <v>3820823</v>
      </c>
      <c r="D19" s="19">
        <v>3820823</v>
      </c>
      <c r="F19" s="12" t="s">
        <v>232</v>
      </c>
      <c r="G19" s="19">
        <v>-42717738</v>
      </c>
      <c r="H19" s="19">
        <v>-42250508</v>
      </c>
    </row>
    <row r="20" spans="2:8" ht="15" customHeight="1" x14ac:dyDescent="0.2">
      <c r="B20" s="12" t="s">
        <v>233</v>
      </c>
      <c r="C20" s="19">
        <v>31667190</v>
      </c>
      <c r="D20" s="19">
        <v>31534484</v>
      </c>
      <c r="F20" s="20" t="s">
        <v>234</v>
      </c>
      <c r="G20" s="21">
        <f>G18+G19</f>
        <v>13308926</v>
      </c>
      <c r="H20" s="21">
        <f>H18+H19</f>
        <v>13373764</v>
      </c>
    </row>
    <row r="22" spans="2:8" ht="16.5" customHeight="1" x14ac:dyDescent="0.2"/>
    <row r="23" spans="2:8" ht="16.5" customHeight="1" x14ac:dyDescent="0.2">
      <c r="B23" s="5" t="s">
        <v>235</v>
      </c>
      <c r="C23" s="22">
        <f>C11+C16+C19+C20</f>
        <v>46681735</v>
      </c>
      <c r="D23" s="22">
        <f>D11+D16+D19+D20</f>
        <v>45760525</v>
      </c>
      <c r="F23" s="5" t="s">
        <v>236</v>
      </c>
      <c r="G23" s="22">
        <f>G15+G20</f>
        <v>46681735</v>
      </c>
      <c r="H23" s="22">
        <f>H15+H20</f>
        <v>45760525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26" sqref="D26"/>
    </sheetView>
  </sheetViews>
  <sheetFormatPr baseColWidth="10" defaultColWidth="8.83203125" defaultRowHeight="15" x14ac:dyDescent="0.2"/>
  <cols>
    <col min="1" max="1" width="2" customWidth="1"/>
    <col min="2" max="2" width="45" customWidth="1"/>
    <col min="3" max="3" width="16" customWidth="1"/>
    <col min="4" max="4" width="14" customWidth="1"/>
  </cols>
  <sheetData>
    <row r="2" spans="2:4" ht="23" customHeight="1" x14ac:dyDescent="0.3">
      <c r="B2" s="14" t="s">
        <v>237</v>
      </c>
    </row>
    <row r="3" spans="2:4" x14ac:dyDescent="0.2">
      <c r="B3" s="15" t="s">
        <v>317</v>
      </c>
    </row>
    <row r="5" spans="2:4" ht="16.5" customHeight="1" x14ac:dyDescent="0.2">
      <c r="B5" s="23" t="s">
        <v>238</v>
      </c>
      <c r="C5" s="23" t="s">
        <v>239</v>
      </c>
      <c r="D5" s="23" t="s">
        <v>240</v>
      </c>
    </row>
    <row r="6" spans="2:4" ht="15" customHeight="1" x14ac:dyDescent="0.2">
      <c r="B6" s="12" t="s">
        <v>241</v>
      </c>
      <c r="C6" s="19">
        <v>27291300</v>
      </c>
      <c r="D6" s="24">
        <v>1</v>
      </c>
    </row>
    <row r="7" spans="2:4" ht="15" customHeight="1" x14ac:dyDescent="0.2">
      <c r="B7" s="12" t="s">
        <v>242</v>
      </c>
      <c r="C7" s="19">
        <v>21542347</v>
      </c>
      <c r="D7" s="25">
        <f t="shared" ref="D7:D15" si="0">IFERROR(C7/$C$6,"")</f>
        <v>0.78934851033113118</v>
      </c>
    </row>
    <row r="8" spans="2:4" ht="15" customHeight="1" x14ac:dyDescent="0.2">
      <c r="B8" s="12" t="s">
        <v>243</v>
      </c>
      <c r="C8" s="19">
        <v>5519638</v>
      </c>
      <c r="D8" s="25">
        <f t="shared" si="0"/>
        <v>0.20224899510100289</v>
      </c>
    </row>
    <row r="9" spans="2:4" ht="15" customHeight="1" x14ac:dyDescent="0.2">
      <c r="B9" s="12" t="s">
        <v>244</v>
      </c>
      <c r="C9" s="19">
        <v>0</v>
      </c>
      <c r="D9" s="25">
        <f t="shared" si="0"/>
        <v>0</v>
      </c>
    </row>
    <row r="10" spans="2:4" ht="15" customHeight="1" x14ac:dyDescent="0.2">
      <c r="B10" s="20" t="s">
        <v>245</v>
      </c>
      <c r="C10" s="21">
        <f>C6-C7-C8-C9</f>
        <v>229315</v>
      </c>
      <c r="D10" s="25">
        <f t="shared" si="0"/>
        <v>8.4024945678659504E-3</v>
      </c>
    </row>
    <row r="11" spans="2:4" ht="15" customHeight="1" x14ac:dyDescent="0.2">
      <c r="B11" s="12" t="s">
        <v>246</v>
      </c>
      <c r="C11" s="19">
        <v>620800</v>
      </c>
      <c r="D11" s="25">
        <f t="shared" si="0"/>
        <v>2.274717583991968E-2</v>
      </c>
    </row>
    <row r="12" spans="2:4" ht="15" customHeight="1" x14ac:dyDescent="0.2">
      <c r="B12" s="12" t="s">
        <v>247</v>
      </c>
      <c r="C12" s="19">
        <v>909616</v>
      </c>
      <c r="D12" s="25">
        <f t="shared" si="0"/>
        <v>3.3329889012249328E-2</v>
      </c>
    </row>
    <row r="13" spans="2:4" ht="15" customHeight="1" x14ac:dyDescent="0.2">
      <c r="B13" s="20" t="s">
        <v>248</v>
      </c>
      <c r="C13" s="21">
        <f>C10+C11-C12</f>
        <v>-59501</v>
      </c>
      <c r="D13" s="25">
        <f t="shared" si="0"/>
        <v>-2.1802186044636938E-3</v>
      </c>
    </row>
    <row r="14" spans="2:4" ht="15" customHeight="1" x14ac:dyDescent="0.2">
      <c r="B14" s="12" t="s">
        <v>249</v>
      </c>
      <c r="C14" s="19">
        <v>144542</v>
      </c>
      <c r="D14" s="25">
        <f t="shared" si="0"/>
        <v>5.2962665757952171E-3</v>
      </c>
    </row>
    <row r="15" spans="2:4" ht="16.5" customHeight="1" x14ac:dyDescent="0.2">
      <c r="B15" s="5" t="s">
        <v>250</v>
      </c>
      <c r="C15" s="22">
        <f>C13-C14</f>
        <v>-204043</v>
      </c>
      <c r="D15" s="26">
        <f t="shared" si="0"/>
        <v>-7.47648518025891E-3</v>
      </c>
    </row>
    <row r="17" spans="2:4" ht="15" customHeight="1" x14ac:dyDescent="0.2">
      <c r="B17" s="18" t="s">
        <v>251</v>
      </c>
    </row>
    <row r="18" spans="2:4" ht="15" customHeight="1" x14ac:dyDescent="0.2">
      <c r="B18" s="12" t="s">
        <v>252</v>
      </c>
      <c r="C18" s="19">
        <v>0</v>
      </c>
      <c r="D18" s="25">
        <f>IFERROR(C18/$C$6,"")</f>
        <v>0</v>
      </c>
    </row>
    <row r="19" spans="2:4" ht="15" customHeight="1" x14ac:dyDescent="0.2">
      <c r="B19" s="20" t="s">
        <v>253</v>
      </c>
      <c r="C19" s="21">
        <f>C15-C18</f>
        <v>-204043</v>
      </c>
      <c r="D19" s="25">
        <f>IFERROR(C19/$C$6,"")</f>
        <v>-7.47648518025891E-3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E22" sqref="E22"/>
    </sheetView>
  </sheetViews>
  <sheetFormatPr baseColWidth="10" defaultColWidth="8.83203125" defaultRowHeight="15" x14ac:dyDescent="0.2"/>
  <cols>
    <col min="1" max="1" width="2" customWidth="1"/>
    <col min="2" max="2" width="50" customWidth="1"/>
    <col min="3" max="3" width="16" customWidth="1"/>
    <col min="4" max="4" width="24" customWidth="1"/>
  </cols>
  <sheetData>
    <row r="2" spans="2:4" ht="23" customHeight="1" x14ac:dyDescent="0.3">
      <c r="B2" s="14" t="s">
        <v>254</v>
      </c>
    </row>
    <row r="3" spans="2:4" x14ac:dyDescent="0.2">
      <c r="B3" s="15" t="s">
        <v>317</v>
      </c>
    </row>
    <row r="5" spans="2:4" ht="16.5" customHeight="1" x14ac:dyDescent="0.2">
      <c r="B5" s="23" t="s">
        <v>238</v>
      </c>
      <c r="C5" s="23" t="s">
        <v>239</v>
      </c>
      <c r="D5" s="23" t="s">
        <v>255</v>
      </c>
    </row>
    <row r="6" spans="2:4" ht="15" customHeight="1" x14ac:dyDescent="0.2">
      <c r="B6" s="18" t="s">
        <v>256</v>
      </c>
      <c r="D6" s="15"/>
    </row>
    <row r="7" spans="2:4" ht="15" customHeight="1" x14ac:dyDescent="0.2">
      <c r="B7" s="12" t="s">
        <v>257</v>
      </c>
      <c r="C7" s="27">
        <f>INC_net</f>
        <v>-204043</v>
      </c>
      <c r="D7" s="15" t="s">
        <v>258</v>
      </c>
    </row>
    <row r="8" spans="2:4" ht="15" customHeight="1" x14ac:dyDescent="0.2">
      <c r="B8" s="12" t="s">
        <v>259</v>
      </c>
      <c r="C8" s="47">
        <v>13264120</v>
      </c>
      <c r="D8" s="15" t="s">
        <v>258</v>
      </c>
    </row>
    <row r="9" spans="2:4" ht="15" customHeight="1" x14ac:dyDescent="0.2">
      <c r="B9" s="12" t="s">
        <v>333</v>
      </c>
      <c r="C9" s="47">
        <v>99099</v>
      </c>
      <c r="D9" s="15" t="s">
        <v>334</v>
      </c>
    </row>
    <row r="10" spans="2:4" ht="15" customHeight="1" x14ac:dyDescent="0.2">
      <c r="B10" s="28" t="s">
        <v>260</v>
      </c>
      <c r="D10" s="15"/>
    </row>
    <row r="11" spans="2:4" ht="15" customHeight="1" x14ac:dyDescent="0.2">
      <c r="B11" s="12" t="s">
        <v>261</v>
      </c>
      <c r="C11" s="19">
        <v>-350341</v>
      </c>
      <c r="D11" s="15" t="s">
        <v>262</v>
      </c>
    </row>
    <row r="12" spans="2:4" ht="15" customHeight="1" x14ac:dyDescent="0.2">
      <c r="B12" s="12" t="s">
        <v>263</v>
      </c>
      <c r="C12" s="19">
        <v>-4858452</v>
      </c>
      <c r="D12" s="15" t="s">
        <v>262</v>
      </c>
    </row>
    <row r="13" spans="2:4" ht="15" customHeight="1" x14ac:dyDescent="0.2">
      <c r="B13" s="12" t="s">
        <v>264</v>
      </c>
      <c r="C13" s="19">
        <v>-8199131</v>
      </c>
      <c r="D13" s="15" t="s">
        <v>262</v>
      </c>
    </row>
    <row r="14" spans="2:4" ht="15" customHeight="1" x14ac:dyDescent="0.2">
      <c r="B14" s="12" t="s">
        <v>265</v>
      </c>
      <c r="C14" s="19">
        <v>322196</v>
      </c>
      <c r="D14" s="15" t="s">
        <v>262</v>
      </c>
    </row>
    <row r="15" spans="2:4" ht="15" customHeight="1" x14ac:dyDescent="0.2">
      <c r="B15" s="12" t="s">
        <v>266</v>
      </c>
      <c r="C15" s="19">
        <v>32353</v>
      </c>
      <c r="D15" s="15" t="s">
        <v>262</v>
      </c>
    </row>
    <row r="16" spans="2:4" ht="15" customHeight="1" x14ac:dyDescent="0.2">
      <c r="B16" s="20" t="s">
        <v>267</v>
      </c>
      <c r="C16" s="21">
        <f>SUM(C11:C15)</f>
        <v>-13053375</v>
      </c>
      <c r="D16" s="15"/>
    </row>
    <row r="17" spans="2:4" ht="16.5" customHeight="1" x14ac:dyDescent="0.2">
      <c r="B17" s="5" t="s">
        <v>268</v>
      </c>
      <c r="C17" s="22">
        <f>C7+C8+C9+C16</f>
        <v>105801</v>
      </c>
      <c r="D17" s="15"/>
    </row>
    <row r="18" spans="2:4" x14ac:dyDescent="0.2">
      <c r="D18" s="15"/>
    </row>
    <row r="19" spans="2:4" ht="15" customHeight="1" x14ac:dyDescent="0.2">
      <c r="B19" s="18" t="s">
        <v>269</v>
      </c>
      <c r="D19" s="15"/>
    </row>
    <row r="20" spans="2:4" ht="15" customHeight="1" x14ac:dyDescent="0.2">
      <c r="B20" s="12" t="s">
        <v>270</v>
      </c>
      <c r="C20" s="19">
        <v>-124636</v>
      </c>
      <c r="D20" s="15"/>
    </row>
    <row r="21" spans="2:4" ht="15" customHeight="1" x14ac:dyDescent="0.2">
      <c r="B21" s="12" t="s">
        <v>271</v>
      </c>
      <c r="C21" s="19">
        <v>721422</v>
      </c>
      <c r="D21" s="15"/>
    </row>
    <row r="22" spans="2:4" ht="15" customHeight="1" x14ac:dyDescent="0.2">
      <c r="B22" s="12" t="s">
        <v>272</v>
      </c>
      <c r="C22" s="19">
        <v>-924221</v>
      </c>
      <c r="D22" s="15"/>
    </row>
    <row r="23" spans="2:4" ht="16.5" customHeight="1" x14ac:dyDescent="0.2">
      <c r="B23" s="5" t="s">
        <v>273</v>
      </c>
      <c r="C23" s="22">
        <f>SUM(C20:C22)</f>
        <v>-327435</v>
      </c>
      <c r="D23" s="15"/>
    </row>
    <row r="24" spans="2:4" x14ac:dyDescent="0.2">
      <c r="D24" s="15"/>
    </row>
    <row r="25" spans="2:4" ht="15" customHeight="1" x14ac:dyDescent="0.2">
      <c r="B25" s="18" t="s">
        <v>274</v>
      </c>
      <c r="D25" s="15"/>
    </row>
    <row r="26" spans="2:4" ht="15" customHeight="1" x14ac:dyDescent="0.2">
      <c r="B26" s="12" t="s">
        <v>275</v>
      </c>
      <c r="C26" s="19">
        <v>-1294246</v>
      </c>
      <c r="D26" s="15"/>
    </row>
    <row r="27" spans="2:4" ht="15" customHeight="1" x14ac:dyDescent="0.2">
      <c r="B27" s="12" t="s">
        <v>276</v>
      </c>
      <c r="C27" s="19">
        <v>2578911</v>
      </c>
      <c r="D27" s="15"/>
    </row>
    <row r="28" spans="2:4" ht="15" customHeight="1" x14ac:dyDescent="0.2">
      <c r="B28" s="12" t="s">
        <v>277</v>
      </c>
      <c r="C28" s="19">
        <v>-19455</v>
      </c>
      <c r="D28" s="15"/>
    </row>
    <row r="29" spans="2:4" ht="15" customHeight="1" x14ac:dyDescent="0.2">
      <c r="B29" s="12" t="s">
        <v>278</v>
      </c>
      <c r="C29" s="19">
        <v>347</v>
      </c>
      <c r="D29" s="15"/>
    </row>
    <row r="30" spans="2:4" ht="15" customHeight="1" x14ac:dyDescent="0.2">
      <c r="B30" s="12" t="s">
        <v>279</v>
      </c>
      <c r="C30" s="19">
        <v>-201123</v>
      </c>
      <c r="D30" s="15"/>
    </row>
    <row r="31" spans="2:4" ht="16.5" customHeight="1" x14ac:dyDescent="0.2">
      <c r="B31" s="5" t="s">
        <v>280</v>
      </c>
      <c r="C31" s="22">
        <f>SUM(C26:C30)</f>
        <v>1064434</v>
      </c>
      <c r="D31" s="15"/>
    </row>
    <row r="32" spans="2:4" x14ac:dyDescent="0.2">
      <c r="B32" s="12" t="s">
        <v>319</v>
      </c>
      <c r="C32" s="45">
        <v>-55393</v>
      </c>
      <c r="D32" s="15"/>
    </row>
    <row r="33" spans="2:4" ht="16.5" customHeight="1" x14ac:dyDescent="0.2">
      <c r="B33" s="5" t="s">
        <v>281</v>
      </c>
      <c r="C33" s="22">
        <f>C17+C23+C31+C32</f>
        <v>787407</v>
      </c>
      <c r="D33" s="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76"/>
  <sheetViews>
    <sheetView showGridLines="0" tabSelected="1" zoomScale="115" workbookViewId="0">
      <pane xSplit="1" ySplit="5" topLeftCell="B27" activePane="bottomRight" state="frozen"/>
      <selection pane="topRight"/>
      <selection pane="bottomLeft"/>
      <selection pane="bottomRight" activeCell="D34" sqref="D34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6" customWidth="1"/>
    <col min="4" max="4" width="62" customWidth="1"/>
    <col min="5" max="5" width="36" customWidth="1"/>
    <col min="6" max="6" width="28" customWidth="1"/>
  </cols>
  <sheetData>
    <row r="2" spans="2:6" ht="23" customHeight="1" x14ac:dyDescent="0.3">
      <c r="B2" s="14" t="s">
        <v>0</v>
      </c>
    </row>
    <row r="3" spans="2:6" x14ac:dyDescent="0.2">
      <c r="B3" s="15" t="s">
        <v>1</v>
      </c>
    </row>
    <row r="5" spans="2:6" ht="16.5" customHeight="1" x14ac:dyDescent="0.2">
      <c r="B5" s="23" t="s">
        <v>2</v>
      </c>
      <c r="C5" s="23" t="s">
        <v>3</v>
      </c>
      <c r="D5" s="23" t="s">
        <v>4</v>
      </c>
      <c r="E5" s="23" t="s">
        <v>5</v>
      </c>
    </row>
    <row r="6" spans="2:6" ht="15" customHeight="1" x14ac:dyDescent="0.2">
      <c r="B6" s="12" t="s">
        <v>6</v>
      </c>
      <c r="C6" s="29">
        <v>2025</v>
      </c>
      <c r="D6" s="30"/>
      <c r="E6" s="30" t="s">
        <v>7</v>
      </c>
    </row>
    <row r="7" spans="2:6" ht="15" customHeight="1" x14ac:dyDescent="0.2">
      <c r="B7" s="12" t="s">
        <v>8</v>
      </c>
      <c r="C7" s="31">
        <f>yearCurrent-1</f>
        <v>2024</v>
      </c>
      <c r="D7" s="30" t="s">
        <v>9</v>
      </c>
      <c r="E7" s="30" t="s">
        <v>10</v>
      </c>
    </row>
    <row r="8" spans="2:6" ht="15" customHeight="1" x14ac:dyDescent="0.2">
      <c r="B8" s="12" t="s">
        <v>11</v>
      </c>
      <c r="C8" s="32">
        <v>1.18</v>
      </c>
      <c r="D8" s="30"/>
      <c r="E8" s="30" t="s">
        <v>12</v>
      </c>
    </row>
    <row r="9" spans="2:6" ht="15" customHeight="1" x14ac:dyDescent="0.2">
      <c r="B9" s="12" t="s">
        <v>340</v>
      </c>
      <c r="C9" s="33">
        <v>962959</v>
      </c>
      <c r="D9" s="30"/>
      <c r="E9" s="30" t="s">
        <v>13</v>
      </c>
      <c r="F9" s="48" t="s">
        <v>341</v>
      </c>
    </row>
    <row r="10" spans="2:6" ht="15" customHeight="1" x14ac:dyDescent="0.2">
      <c r="B10" s="12" t="s">
        <v>14</v>
      </c>
      <c r="C10" s="34">
        <v>0.09</v>
      </c>
      <c r="D10" s="30"/>
      <c r="E10" s="30" t="s">
        <v>15</v>
      </c>
    </row>
    <row r="11" spans="2:6" ht="15" customHeight="1" x14ac:dyDescent="0.2">
      <c r="B11" s="12" t="s">
        <v>16</v>
      </c>
      <c r="C11" s="34">
        <v>0.25</v>
      </c>
      <c r="D11" s="30"/>
      <c r="E11" s="30" t="s">
        <v>17</v>
      </c>
    </row>
    <row r="12" spans="2:6" ht="15" customHeight="1" x14ac:dyDescent="0.2">
      <c r="B12" s="12" t="s">
        <v>18</v>
      </c>
      <c r="C12" s="35">
        <f>share_price*shares_outstanding</f>
        <v>1136291.6199999999</v>
      </c>
      <c r="D12" s="30" t="s">
        <v>19</v>
      </c>
      <c r="E12" s="30" t="s">
        <v>20</v>
      </c>
    </row>
    <row r="14" spans="2:6" ht="16.5" customHeight="1" x14ac:dyDescent="0.2">
      <c r="B14" s="55" t="s">
        <v>21</v>
      </c>
      <c r="C14" s="50"/>
      <c r="D14" s="50"/>
      <c r="E14" s="50"/>
    </row>
    <row r="15" spans="2:6" ht="15" customHeight="1" x14ac:dyDescent="0.2">
      <c r="B15" s="12" t="s">
        <v>22</v>
      </c>
      <c r="C15" s="36">
        <f>BAL_equity_shareholders_prior</f>
        <v>13373764</v>
      </c>
      <c r="D15" s="30" t="s">
        <v>23</v>
      </c>
      <c r="E15" s="30" t="s">
        <v>24</v>
      </c>
    </row>
    <row r="16" spans="2:6" ht="15" customHeight="1" x14ac:dyDescent="0.2">
      <c r="B16" s="12" t="s">
        <v>25</v>
      </c>
      <c r="C16" s="36">
        <f>BAL_inventories_prior</f>
        <v>388718</v>
      </c>
      <c r="D16" s="30" t="s">
        <v>26</v>
      </c>
      <c r="E16" s="30" t="s">
        <v>27</v>
      </c>
    </row>
    <row r="17" spans="2:5" ht="15" customHeight="1" x14ac:dyDescent="0.2">
      <c r="B17" s="12" t="s">
        <v>28</v>
      </c>
      <c r="C17" s="36">
        <f>BAL_receivables_prior</f>
        <v>2191178</v>
      </c>
      <c r="D17" s="30" t="s">
        <v>29</v>
      </c>
      <c r="E17" s="30" t="s">
        <v>30</v>
      </c>
    </row>
    <row r="18" spans="2:5" ht="15" customHeight="1" x14ac:dyDescent="0.2">
      <c r="B18" s="12" t="s">
        <v>31</v>
      </c>
      <c r="C18" s="36">
        <f>BAL_assets_total_prior</f>
        <v>45760525</v>
      </c>
      <c r="D18" s="30" t="s">
        <v>32</v>
      </c>
      <c r="E18" s="30" t="s">
        <v>33</v>
      </c>
    </row>
    <row r="19" spans="2:5" ht="15" customHeight="1" x14ac:dyDescent="0.2">
      <c r="B19" s="12" t="s">
        <v>34</v>
      </c>
      <c r="C19" s="36">
        <f>BAL_debt_long_term_prior+BAL_equity_shareholders_prior</f>
        <v>22761169</v>
      </c>
      <c r="D19" s="30" t="s">
        <v>35</v>
      </c>
      <c r="E19" s="30" t="s">
        <v>36</v>
      </c>
    </row>
    <row r="21" spans="2:5" ht="16.5" customHeight="1" x14ac:dyDescent="0.2">
      <c r="B21" s="55" t="s">
        <v>37</v>
      </c>
      <c r="C21" s="50"/>
      <c r="D21" s="50"/>
      <c r="E21" s="50"/>
    </row>
    <row r="22" spans="2:5" ht="15" customHeight="1" x14ac:dyDescent="0.2">
      <c r="B22" s="12" t="s">
        <v>38</v>
      </c>
      <c r="C22" s="36">
        <f>INC_net+(1-tax_rate)*INC_interest_expense</f>
        <v>478169</v>
      </c>
      <c r="D22" s="30" t="s">
        <v>39</v>
      </c>
      <c r="E22" s="30" t="s">
        <v>40</v>
      </c>
    </row>
    <row r="23" spans="2:5" ht="15" customHeight="1" x14ac:dyDescent="0.2">
      <c r="B23" s="12" t="s">
        <v>41</v>
      </c>
      <c r="C23" s="37">
        <f>IFERROR(INC_sales/365,"")</f>
        <v>74770.684931506854</v>
      </c>
      <c r="D23" s="30" t="s">
        <v>42</v>
      </c>
      <c r="E23" s="30" t="s">
        <v>43</v>
      </c>
    </row>
    <row r="24" spans="2:5" ht="15" customHeight="1" x14ac:dyDescent="0.2">
      <c r="B24" s="12" t="s">
        <v>44</v>
      </c>
      <c r="C24" s="36">
        <f>BAL_equity_shareholders_curr</f>
        <v>13308926</v>
      </c>
      <c r="D24" s="30" t="s">
        <v>45</v>
      </c>
      <c r="E24" s="30" t="s">
        <v>46</v>
      </c>
    </row>
    <row r="25" spans="2:5" ht="15" customHeight="1" x14ac:dyDescent="0.2">
      <c r="B25" s="12" t="s">
        <v>47</v>
      </c>
      <c r="C25" s="36">
        <f>BAL_cash_marketable_securities_curr</f>
        <v>4354275</v>
      </c>
      <c r="D25" s="30" t="s">
        <v>48</v>
      </c>
      <c r="E25" s="30" t="s">
        <v>49</v>
      </c>
    </row>
    <row r="26" spans="2:5" ht="15" customHeight="1" x14ac:dyDescent="0.2">
      <c r="B26" s="12" t="s">
        <v>50</v>
      </c>
      <c r="C26" s="36">
        <f>BAL_assets_current_curr</f>
        <v>10290295</v>
      </c>
      <c r="D26" s="30" t="s">
        <v>51</v>
      </c>
      <c r="E26" s="30" t="s">
        <v>52</v>
      </c>
    </row>
    <row r="27" spans="2:5" ht="15" customHeight="1" x14ac:dyDescent="0.2">
      <c r="B27" s="12" t="s">
        <v>53</v>
      </c>
      <c r="C27" s="36">
        <f>BAL_liabilities_current_curr</f>
        <v>22067307</v>
      </c>
      <c r="D27" s="30" t="s">
        <v>54</v>
      </c>
      <c r="E27" s="30" t="s">
        <v>55</v>
      </c>
    </row>
    <row r="28" spans="2:5" ht="15" customHeight="1" x14ac:dyDescent="0.2">
      <c r="B28" s="12" t="s">
        <v>56</v>
      </c>
      <c r="C28" s="37">
        <f>IFERROR(INC_cost_goods_sold/365,"")</f>
        <v>59020.128767123286</v>
      </c>
      <c r="D28" s="30" t="s">
        <v>57</v>
      </c>
      <c r="E28" s="30" t="s">
        <v>58</v>
      </c>
    </row>
    <row r="29" spans="2:5" ht="15" customHeight="1" x14ac:dyDescent="0.2">
      <c r="B29" s="12" t="s">
        <v>59</v>
      </c>
      <c r="C29" s="36">
        <f>BAL_debt_long_term_curr</f>
        <v>10080824</v>
      </c>
      <c r="D29" s="30" t="s">
        <v>60</v>
      </c>
      <c r="E29" s="30" t="s">
        <v>61</v>
      </c>
    </row>
    <row r="30" spans="2:5" ht="15" customHeight="1" x14ac:dyDescent="0.2">
      <c r="B30" s="12" t="s">
        <v>62</v>
      </c>
      <c r="C30" s="36">
        <f>BAL_assets_current_curr-BAL_liabilities_current_curr</f>
        <v>-11777012</v>
      </c>
      <c r="D30" s="30" t="s">
        <v>63</v>
      </c>
      <c r="E30" s="30" t="s">
        <v>64</v>
      </c>
    </row>
    <row r="31" spans="2:5" ht="15" customHeight="1" x14ac:dyDescent="0.2">
      <c r="B31" s="12" t="s">
        <v>65</v>
      </c>
      <c r="C31" s="36">
        <f>BAL_assets_total_curr</f>
        <v>46681735</v>
      </c>
      <c r="D31" s="30" t="s">
        <v>66</v>
      </c>
      <c r="E31" s="30" t="s">
        <v>67</v>
      </c>
    </row>
    <row r="32" spans="2:5" ht="15" customHeight="1" x14ac:dyDescent="0.2">
      <c r="B32" s="12" t="s">
        <v>68</v>
      </c>
      <c r="C32" s="36">
        <f>BAL_debt_long_term_curr+BAL_equity_shareholders_curr</f>
        <v>23389750</v>
      </c>
      <c r="D32" s="30" t="s">
        <v>69</v>
      </c>
      <c r="E32" s="30" t="s">
        <v>70</v>
      </c>
    </row>
    <row r="33" spans="2:6" ht="15" customHeight="1" x14ac:dyDescent="0.2">
      <c r="B33" s="12" t="s">
        <v>71</v>
      </c>
      <c r="C33" s="36">
        <f>BAL_liabilities_total_curr</f>
        <v>33372809</v>
      </c>
      <c r="D33" s="30" t="s">
        <v>72</v>
      </c>
      <c r="E33" s="30" t="s">
        <v>73</v>
      </c>
    </row>
    <row r="35" spans="2:6" ht="16.5" customHeight="1" x14ac:dyDescent="0.2">
      <c r="B35" s="55" t="s">
        <v>74</v>
      </c>
      <c r="C35" s="50"/>
      <c r="D35" s="50"/>
      <c r="E35" s="50"/>
    </row>
    <row r="36" spans="2:6" ht="15" customHeight="1" x14ac:dyDescent="0.2">
      <c r="B36" s="12" t="s">
        <v>75</v>
      </c>
      <c r="C36" s="37">
        <f>AVERAGE(startYear_equity,currentYear_equity)</f>
        <v>13341345</v>
      </c>
      <c r="D36" s="30" t="s">
        <v>76</v>
      </c>
      <c r="E36" s="30" t="s">
        <v>77</v>
      </c>
    </row>
    <row r="37" spans="2:6" ht="15" customHeight="1" x14ac:dyDescent="0.2">
      <c r="B37" s="12" t="s">
        <v>78</v>
      </c>
      <c r="C37" s="37">
        <f>AVERAGE(startYear_total_assets,currentYear_assets_total)</f>
        <v>46221130</v>
      </c>
      <c r="D37" s="30" t="s">
        <v>79</v>
      </c>
      <c r="E37" s="30" t="s">
        <v>80</v>
      </c>
    </row>
    <row r="38" spans="2:6" ht="15" customHeight="1" x14ac:dyDescent="0.2">
      <c r="B38" s="12" t="s">
        <v>81</v>
      </c>
      <c r="C38" s="37">
        <f>AVERAGE(startYear_total_capitalization,currentYear_total_capitalization)</f>
        <v>23075459.5</v>
      </c>
      <c r="D38" s="30" t="s">
        <v>82</v>
      </c>
      <c r="E38" s="30" t="s">
        <v>83</v>
      </c>
    </row>
    <row r="41" spans="2:6" ht="16.5" customHeight="1" x14ac:dyDescent="0.2">
      <c r="B41" s="23" t="s">
        <v>84</v>
      </c>
      <c r="C41" s="23" t="s">
        <v>85</v>
      </c>
      <c r="D41" s="23" t="s">
        <v>86</v>
      </c>
      <c r="E41" s="23" t="s">
        <v>5</v>
      </c>
      <c r="F41" s="23" t="s">
        <v>87</v>
      </c>
    </row>
    <row r="42" spans="2:6" ht="16.5" customHeight="1" x14ac:dyDescent="0.2">
      <c r="B42" s="5" t="s">
        <v>88</v>
      </c>
      <c r="C42" s="1"/>
      <c r="D42" s="1"/>
      <c r="E42" s="1"/>
    </row>
    <row r="43" spans="2:6" ht="15" customHeight="1" x14ac:dyDescent="0.2">
      <c r="B43" s="12" t="s">
        <v>89</v>
      </c>
      <c r="C43" s="38">
        <f>market_capitalization - currentYear_equity</f>
        <v>-12172634.380000001</v>
      </c>
      <c r="D43" s="30" t="s">
        <v>90</v>
      </c>
      <c r="E43" s="30"/>
    </row>
    <row r="44" spans="2:6" ht="15" customHeight="1" x14ac:dyDescent="0.2">
      <c r="B44" s="12" t="s">
        <v>91</v>
      </c>
      <c r="C44" s="39">
        <f>market_capitalization / currentYear_equity</f>
        <v>8.5378160491688046E-2</v>
      </c>
      <c r="D44" s="30" t="s">
        <v>92</v>
      </c>
      <c r="E44" s="30"/>
    </row>
    <row r="45" spans="2:6" ht="15" customHeight="1" x14ac:dyDescent="0.2">
      <c r="B45" s="12" t="s">
        <v>93</v>
      </c>
      <c r="C45" s="38">
        <f>currentYear_after_tax_operating_income-(cost_capital*startYear_total_capitalization)</f>
        <v>-1570336.21</v>
      </c>
      <c r="D45" s="30" t="s">
        <v>94</v>
      </c>
      <c r="E45" s="30"/>
    </row>
    <row r="46" spans="2:6" ht="16.5" customHeight="1" x14ac:dyDescent="0.2">
      <c r="B46" s="5" t="s">
        <v>95</v>
      </c>
      <c r="C46" s="1"/>
      <c r="D46" s="1"/>
      <c r="E46" s="1"/>
    </row>
    <row r="47" spans="2:6" ht="15" customHeight="1" x14ac:dyDescent="0.2">
      <c r="B47" s="12" t="s">
        <v>96</v>
      </c>
      <c r="C47" s="40">
        <f>currentYear_after_tax_operating_income/startYear_total_assets</f>
        <v>1.0449377492937418E-2</v>
      </c>
      <c r="D47" s="30" t="s">
        <v>97</v>
      </c>
      <c r="E47" s="30"/>
    </row>
    <row r="48" spans="2:6" ht="15" customHeight="1" x14ac:dyDescent="0.2">
      <c r="B48" s="12" t="s">
        <v>98</v>
      </c>
      <c r="C48" s="40">
        <f>currentYear_after_tax_operating_income/startYear_total_capitalization</f>
        <v>2.1008103757763935E-2</v>
      </c>
      <c r="D48" s="30" t="s">
        <v>99</v>
      </c>
      <c r="E48" s="30"/>
    </row>
    <row r="49" spans="2:5" ht="15" customHeight="1" x14ac:dyDescent="0.2">
      <c r="B49" s="12" t="s">
        <v>100</v>
      </c>
      <c r="C49" s="40">
        <f>INC_net/startYear_equity</f>
        <v>-1.5256961316200884E-2</v>
      </c>
      <c r="D49" s="30" t="s">
        <v>101</v>
      </c>
      <c r="E49" s="30"/>
    </row>
    <row r="50" spans="2:5" ht="15" customHeight="1" x14ac:dyDescent="0.2">
      <c r="B50" s="12" t="s">
        <v>102</v>
      </c>
      <c r="C50" s="40">
        <f>currentYear_after_tax_operating_income/avg_total_assets</f>
        <v>1.0345246860039986E-2</v>
      </c>
      <c r="D50" s="30" t="s">
        <v>103</v>
      </c>
      <c r="E50" s="30"/>
    </row>
    <row r="51" spans="2:5" ht="15" customHeight="1" x14ac:dyDescent="0.2">
      <c r="B51" s="12" t="s">
        <v>104</v>
      </c>
      <c r="C51" s="40">
        <f>currentYear_after_tax_operating_income/avg_total_capitalization</f>
        <v>2.0721970888597039E-2</v>
      </c>
      <c r="D51" s="30" t="s">
        <v>105</v>
      </c>
      <c r="E51" s="30"/>
    </row>
    <row r="52" spans="2:5" ht="15" customHeight="1" x14ac:dyDescent="0.2">
      <c r="B52" s="12" t="s">
        <v>106</v>
      </c>
      <c r="C52" s="40">
        <f>INC_net/avg_equity</f>
        <v>-1.5294035196601241E-2</v>
      </c>
      <c r="D52" s="30" t="s">
        <v>107</v>
      </c>
      <c r="E52" s="30"/>
    </row>
    <row r="53" spans="2:5" ht="16.5" customHeight="1" x14ac:dyDescent="0.2">
      <c r="B53" s="5" t="s">
        <v>108</v>
      </c>
      <c r="C53" s="1"/>
      <c r="D53" s="1"/>
      <c r="E53" s="1"/>
    </row>
    <row r="54" spans="2:5" ht="15" customHeight="1" x14ac:dyDescent="0.2">
      <c r="B54" s="12" t="s">
        <v>109</v>
      </c>
      <c r="C54" s="39">
        <f>INC_sales/startYear_total_assets</f>
        <v>0.59639394434395143</v>
      </c>
      <c r="D54" s="30" t="s">
        <v>110</v>
      </c>
      <c r="E54" s="30" t="s">
        <v>111</v>
      </c>
    </row>
    <row r="55" spans="2:5" ht="15" customHeight="1" x14ac:dyDescent="0.2">
      <c r="B55" s="12" t="s">
        <v>112</v>
      </c>
      <c r="C55" s="39">
        <f>INC_sales/startYear_receivables</f>
        <v>12.455081239406383</v>
      </c>
      <c r="D55" s="30" t="s">
        <v>113</v>
      </c>
      <c r="E55" s="30"/>
    </row>
    <row r="56" spans="2:5" ht="15" customHeight="1" x14ac:dyDescent="0.2">
      <c r="B56" s="12" t="s">
        <v>114</v>
      </c>
      <c r="C56" s="41">
        <f>startYear_receivables/currentYear_daily_sales_average</f>
        <v>29.305308651475009</v>
      </c>
      <c r="D56" s="30" t="s">
        <v>115</v>
      </c>
      <c r="E56" s="30"/>
    </row>
    <row r="57" spans="2:5" ht="15" customHeight="1" x14ac:dyDescent="0.2">
      <c r="B57" s="12" t="s">
        <v>116</v>
      </c>
      <c r="C57" s="39">
        <f>INC_cost_goods_sold/startYear_inventory</f>
        <v>55.418959245519886</v>
      </c>
      <c r="D57" s="30" t="s">
        <v>117</v>
      </c>
      <c r="E57" s="30"/>
    </row>
    <row r="58" spans="2:5" ht="15" customHeight="1" x14ac:dyDescent="0.2">
      <c r="B58" s="12" t="s">
        <v>118</v>
      </c>
      <c r="C58" s="41">
        <f>startYear_inventory/currentYear_cost_goods_sold_daily</f>
        <v>6.5861936956080047</v>
      </c>
      <c r="D58" s="30" t="s">
        <v>119</v>
      </c>
      <c r="E58" s="30"/>
    </row>
    <row r="59" spans="2:5" ht="15" customHeight="1" x14ac:dyDescent="0.2">
      <c r="B59" s="12" t="s">
        <v>120</v>
      </c>
      <c r="C59" s="40">
        <f>INC_net/INC_sales</f>
        <v>-7.47648518025891E-3</v>
      </c>
      <c r="D59" s="30" t="s">
        <v>121</v>
      </c>
      <c r="E59" s="30"/>
    </row>
    <row r="60" spans="2:5" ht="15" customHeight="1" x14ac:dyDescent="0.2">
      <c r="B60" s="12" t="s">
        <v>122</v>
      </c>
      <c r="C60" s="40">
        <f>currentYear_after_tax_operating_income/INC_sales</f>
        <v>1.7520931578928083E-2</v>
      </c>
      <c r="D60" s="30" t="s">
        <v>123</v>
      </c>
      <c r="E60" s="30" t="s">
        <v>124</v>
      </c>
    </row>
    <row r="61" spans="2:5" ht="16.5" customHeight="1" x14ac:dyDescent="0.2">
      <c r="B61" s="5" t="s">
        <v>125</v>
      </c>
      <c r="C61" s="1"/>
      <c r="D61" s="1"/>
      <c r="E61" s="1"/>
    </row>
    <row r="62" spans="2:5" ht="15" customHeight="1" x14ac:dyDescent="0.2">
      <c r="B62" s="12" t="s">
        <v>126</v>
      </c>
      <c r="C62" s="40">
        <f>currentYear_debt_long_term/(currentYear_debt_long_term+currentYear_equity)</f>
        <v>0.4309932342158424</v>
      </c>
      <c r="D62" s="30" t="s">
        <v>127</v>
      </c>
      <c r="E62" s="30"/>
    </row>
    <row r="63" spans="2:5" ht="15" customHeight="1" x14ac:dyDescent="0.2">
      <c r="B63" s="12" t="s">
        <v>128</v>
      </c>
      <c r="C63" s="39">
        <f>currentYear_debt_long_term/currentYear_equity</f>
        <v>0.75744834707173214</v>
      </c>
      <c r="D63" s="30" t="s">
        <v>129</v>
      </c>
      <c r="E63" s="30"/>
    </row>
    <row r="64" spans="2:5" ht="15" customHeight="1" x14ac:dyDescent="0.2">
      <c r="B64" s="12" t="s">
        <v>130</v>
      </c>
      <c r="C64" s="40">
        <f>currentYear_liabilities_total/currentYear_assets_total</f>
        <v>0.71490078507150601</v>
      </c>
      <c r="D64" s="30" t="s">
        <v>131</v>
      </c>
      <c r="E64" s="30"/>
    </row>
    <row r="65" spans="2:6" ht="15" customHeight="1" x14ac:dyDescent="0.2">
      <c r="B65" s="12" t="s">
        <v>132</v>
      </c>
      <c r="C65" s="39">
        <f>INC_ebit/INC_interest_expense</f>
        <v>0.25210088652794144</v>
      </c>
      <c r="D65" s="30" t="s">
        <v>133</v>
      </c>
      <c r="E65" s="30"/>
    </row>
    <row r="66" spans="2:6" ht="15" customHeight="1" x14ac:dyDescent="0.2">
      <c r="B66" s="12" t="s">
        <v>134</v>
      </c>
      <c r="C66" s="39">
        <f>(INC_ebit+CF_depreciation_amortization)/INC_interest_expense</f>
        <v>14.834210260153736</v>
      </c>
      <c r="D66" s="30" t="s">
        <v>342</v>
      </c>
      <c r="E66" s="30" t="s">
        <v>343</v>
      </c>
    </row>
    <row r="67" spans="2:6" ht="15" customHeight="1" x14ac:dyDescent="0.2">
      <c r="B67" s="12" t="s">
        <v>135</v>
      </c>
      <c r="C67" s="42">
        <f>INC_net/currentYear_after_tax_operating_income</f>
        <v>-0.42671733215662244</v>
      </c>
      <c r="D67" s="30" t="s">
        <v>136</v>
      </c>
      <c r="E67" s="30" t="s">
        <v>137</v>
      </c>
    </row>
    <row r="68" spans="2:6" ht="15" customHeight="1" x14ac:dyDescent="0.2">
      <c r="B68" s="12" t="s">
        <v>138</v>
      </c>
      <c r="C68" s="39">
        <f>currentYear_assets_total/currentYear_equity</f>
        <v>3.5075508722491957</v>
      </c>
      <c r="D68" s="30" t="s">
        <v>139</v>
      </c>
      <c r="E68" s="30" t="s">
        <v>140</v>
      </c>
    </row>
    <row r="69" spans="2:6" ht="16.5" customHeight="1" x14ac:dyDescent="0.2">
      <c r="B69" s="5" t="s">
        <v>141</v>
      </c>
      <c r="C69" s="1"/>
      <c r="D69" s="1"/>
      <c r="E69" s="1"/>
    </row>
    <row r="70" spans="2:6" ht="15" customHeight="1" x14ac:dyDescent="0.2">
      <c r="B70" s="12" t="s">
        <v>142</v>
      </c>
      <c r="C70" s="40">
        <f>currentYear_working_capital_net/currentYear_assets_total</f>
        <v>-0.25228308245184117</v>
      </c>
      <c r="D70" s="30" t="s">
        <v>143</v>
      </c>
      <c r="E70" s="30"/>
    </row>
    <row r="71" spans="2:6" ht="15" customHeight="1" x14ac:dyDescent="0.2">
      <c r="B71" s="12" t="s">
        <v>144</v>
      </c>
      <c r="C71" s="39">
        <f>currentYear_assets_current/currentYear_liabilities_current</f>
        <v>0.46631403641595232</v>
      </c>
      <c r="D71" s="30" t="s">
        <v>145</v>
      </c>
      <c r="E71" s="30"/>
    </row>
    <row r="72" spans="2:6" ht="15" customHeight="1" x14ac:dyDescent="0.2">
      <c r="B72" s="12" t="s">
        <v>146</v>
      </c>
      <c r="C72" s="39">
        <f>(currentYear_cash_marketable_securities+BAL_receivables_curr)/currentYear_liabilities_current</f>
        <v>0.31163489953712975</v>
      </c>
      <c r="D72" s="30" t="s">
        <v>147</v>
      </c>
      <c r="E72" s="30"/>
    </row>
    <row r="73" spans="2:6" ht="15" customHeight="1" x14ac:dyDescent="0.2">
      <c r="B73" s="12" t="s">
        <v>148</v>
      </c>
      <c r="C73" s="39">
        <f>currentYear_cash_marketable_securities/currentYear_liabilities_current</f>
        <v>0.19731791468709797</v>
      </c>
      <c r="D73" s="30" t="s">
        <v>149</v>
      </c>
      <c r="E73" s="30"/>
    </row>
    <row r="74" spans="2:6" ht="16.5" customHeight="1" x14ac:dyDescent="0.2">
      <c r="B74" s="5" t="s">
        <v>150</v>
      </c>
      <c r="C74" s="1"/>
      <c r="D74" s="1"/>
      <c r="E74" s="1"/>
    </row>
    <row r="75" spans="2:6" ht="15" customHeight="1" x14ac:dyDescent="0.2">
      <c r="B75" s="12" t="s">
        <v>151</v>
      </c>
      <c r="C75" s="40">
        <f>RATIO_asset_turnover*RATIO_operating_profit_margin</f>
        <v>1.0449377492937416E-2</v>
      </c>
      <c r="D75" s="30" t="s">
        <v>152</v>
      </c>
      <c r="E75" s="30"/>
      <c r="F75" s="44" t="str">
        <f>IF(OR(C75="",C47=""),"",IF(ROUND(C75,6)=ROUND(C47,6),"✓ matches direct ROA","✗ differs by "&amp;TEXT(ABS(C75-C47),"0.00%")))</f>
        <v>✓ matches direct ROA</v>
      </c>
    </row>
    <row r="76" spans="2:6" ht="15" customHeight="1" x14ac:dyDescent="0.2">
      <c r="B76" s="12" t="s">
        <v>153</v>
      </c>
      <c r="C76" s="40">
        <f>RATIO_leverage*RATIO_asset_turnover*RATIO_operating_profit_margin*RATIO_debt_burden</f>
        <v>-1.5639925517164466E-2</v>
      </c>
      <c r="D76" s="30" t="s">
        <v>154</v>
      </c>
      <c r="E76" s="30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26"/>
  <sheetViews>
    <sheetView showGridLines="0" topLeftCell="A4" workbookViewId="0">
      <selection activeCell="B26" sqref="B26"/>
    </sheetView>
  </sheetViews>
  <sheetFormatPr baseColWidth="10" defaultColWidth="8.83203125" defaultRowHeight="15" x14ac:dyDescent="0.2"/>
  <cols>
    <col min="1" max="1" width="3.83203125" customWidth="1"/>
    <col min="2" max="2" width="28" customWidth="1"/>
    <col min="3" max="3" width="176.83203125" bestFit="1" customWidth="1"/>
    <col min="4" max="4" width="70" customWidth="1"/>
  </cols>
  <sheetData>
    <row r="2" spans="2:4" ht="23" customHeight="1" x14ac:dyDescent="0.3">
      <c r="B2" s="14" t="s">
        <v>282</v>
      </c>
      <c r="C2" s="14"/>
    </row>
    <row r="4" spans="2:4" x14ac:dyDescent="0.2">
      <c r="B4" s="43" t="s">
        <v>283</v>
      </c>
      <c r="C4" s="43" t="s">
        <v>320</v>
      </c>
      <c r="D4" s="4" t="s">
        <v>284</v>
      </c>
    </row>
    <row r="5" spans="2:4" x14ac:dyDescent="0.2">
      <c r="B5" s="43" t="s">
        <v>285</v>
      </c>
      <c r="C5" s="43" t="s">
        <v>321</v>
      </c>
      <c r="D5" s="4" t="s">
        <v>286</v>
      </c>
    </row>
    <row r="6" spans="2:4" x14ac:dyDescent="0.2">
      <c r="B6" s="43" t="s">
        <v>287</v>
      </c>
      <c r="C6" s="43" t="s">
        <v>322</v>
      </c>
      <c r="D6" s="4" t="s">
        <v>288</v>
      </c>
    </row>
    <row r="7" spans="2:4" x14ac:dyDescent="0.2">
      <c r="B7" s="43" t="s">
        <v>289</v>
      </c>
      <c r="C7" s="43" t="s">
        <v>323</v>
      </c>
      <c r="D7" s="4" t="s">
        <v>290</v>
      </c>
    </row>
    <row r="8" spans="2:4" x14ac:dyDescent="0.2">
      <c r="B8" s="43" t="s">
        <v>291</v>
      </c>
      <c r="C8" s="43" t="s">
        <v>324</v>
      </c>
      <c r="D8" s="4" t="s">
        <v>290</v>
      </c>
    </row>
    <row r="9" spans="2:4" ht="75" x14ac:dyDescent="0.2">
      <c r="B9" s="43" t="s">
        <v>344</v>
      </c>
      <c r="C9" s="46" t="s">
        <v>345</v>
      </c>
      <c r="D9" s="4" t="s">
        <v>346</v>
      </c>
    </row>
    <row r="10" spans="2:4" ht="30" x14ac:dyDescent="0.2">
      <c r="B10" s="43" t="s">
        <v>347</v>
      </c>
      <c r="C10" s="43" t="s">
        <v>348</v>
      </c>
      <c r="D10" s="4" t="s">
        <v>349</v>
      </c>
    </row>
    <row r="11" spans="2:4" x14ac:dyDescent="0.2">
      <c r="B11" s="43" t="s">
        <v>292</v>
      </c>
      <c r="C11" s="43" t="s">
        <v>325</v>
      </c>
      <c r="D11" s="4" t="s">
        <v>207</v>
      </c>
    </row>
    <row r="12" spans="2:4" x14ac:dyDescent="0.2">
      <c r="B12" s="43" t="s">
        <v>293</v>
      </c>
      <c r="C12" s="43" t="s">
        <v>326</v>
      </c>
      <c r="D12" s="4" t="s">
        <v>294</v>
      </c>
    </row>
    <row r="13" spans="2:4" x14ac:dyDescent="0.2">
      <c r="B13" s="43" t="s">
        <v>295</v>
      </c>
      <c r="C13" s="43" t="s">
        <v>327</v>
      </c>
      <c r="D13" s="4" t="s">
        <v>296</v>
      </c>
    </row>
    <row r="14" spans="2:4" x14ac:dyDescent="0.2">
      <c r="B14" s="43" t="s">
        <v>297</v>
      </c>
      <c r="C14" s="43" t="s">
        <v>328</v>
      </c>
      <c r="D14" s="4" t="s">
        <v>298</v>
      </c>
    </row>
    <row r="15" spans="2:4" x14ac:dyDescent="0.2">
      <c r="B15" s="43" t="s">
        <v>299</v>
      </c>
      <c r="C15" s="43" t="s">
        <v>329</v>
      </c>
      <c r="D15" s="4" t="s">
        <v>300</v>
      </c>
    </row>
    <row r="17" spans="2:4" x14ac:dyDescent="0.2">
      <c r="B17" s="43" t="s">
        <v>301</v>
      </c>
      <c r="C17" s="43"/>
      <c r="D17" s="4" t="s">
        <v>302</v>
      </c>
    </row>
    <row r="18" spans="2:4" ht="29" customHeight="1" x14ac:dyDescent="0.2">
      <c r="B18" s="43" t="s">
        <v>303</v>
      </c>
      <c r="C18" s="43" t="s">
        <v>330</v>
      </c>
      <c r="D18" s="4" t="s">
        <v>304</v>
      </c>
    </row>
    <row r="19" spans="2:4" ht="29" customHeight="1" x14ac:dyDescent="0.2">
      <c r="B19" s="43" t="s">
        <v>305</v>
      </c>
      <c r="C19" s="46" t="s">
        <v>332</v>
      </c>
      <c r="D19" s="4" t="s">
        <v>306</v>
      </c>
    </row>
    <row r="20" spans="2:4" ht="29" customHeight="1" x14ac:dyDescent="0.2">
      <c r="B20" s="43" t="s">
        <v>307</v>
      </c>
      <c r="C20" s="43" t="s">
        <v>331</v>
      </c>
      <c r="D20" s="4" t="s">
        <v>308</v>
      </c>
    </row>
    <row r="21" spans="2:4" ht="29" customHeight="1" x14ac:dyDescent="0.2">
      <c r="B21" s="43" t="s">
        <v>309</v>
      </c>
      <c r="C21" s="43" t="s">
        <v>331</v>
      </c>
      <c r="D21" s="4" t="s">
        <v>310</v>
      </c>
    </row>
    <row r="23" spans="2:4" x14ac:dyDescent="0.2">
      <c r="B23" s="43" t="s">
        <v>311</v>
      </c>
      <c r="C23" s="43"/>
    </row>
    <row r="24" spans="2:4" ht="32" customHeight="1" x14ac:dyDescent="0.2">
      <c r="B24" s="43" t="s">
        <v>312</v>
      </c>
      <c r="C24" s="43"/>
      <c r="D24" s="4" t="s">
        <v>313</v>
      </c>
    </row>
    <row r="25" spans="2:4" ht="45" customHeight="1" x14ac:dyDescent="0.2">
      <c r="B25" s="43" t="s">
        <v>314</v>
      </c>
      <c r="C25" s="43"/>
      <c r="D25" s="4" t="s">
        <v>315</v>
      </c>
    </row>
    <row r="26" spans="2:4" ht="45" customHeight="1" x14ac:dyDescent="0.2">
      <c r="B26" s="43" t="s">
        <v>335</v>
      </c>
      <c r="C26" s="43" t="s">
        <v>336</v>
      </c>
      <c r="D26" s="4" t="s">
        <v>337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88</vt:i4>
      </vt:variant>
    </vt:vector>
  </HeadingPairs>
  <TitlesOfParts>
    <vt:vector size="94" baseType="lpstr">
      <vt:lpstr>Cover</vt:lpstr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BAL_accounts_payable_curr</vt:lpstr>
      <vt:lpstr>BAL_accounts_payable_prior</vt:lpstr>
      <vt:lpstr>BAL_accumulated_depreciation_curr</vt:lpstr>
      <vt:lpstr>BAL_accumulated_depreciation_prior</vt:lpstr>
      <vt:lpstr>BAL_assets_current_curr</vt:lpstr>
      <vt:lpstr>BAL_assets_current_prior</vt:lpstr>
      <vt:lpstr>BAL_assets_total_curr</vt:lpstr>
      <vt:lpstr>BAL_assets_total_prior</vt:lpstr>
      <vt:lpstr>BAL_cash_marketable_securities_curr</vt:lpstr>
      <vt:lpstr>BAL_cash_marketable_securities_prior</vt:lpstr>
      <vt:lpstr>BAL_common_stock_curr</vt:lpstr>
      <vt:lpstr>BAL_common_stock_prior</vt:lpstr>
      <vt:lpstr>BAL_debt_long_term_curr</vt:lpstr>
      <vt:lpstr>BAL_debt_long_term_prior</vt:lpstr>
      <vt:lpstr>BAL_debt_short_term_curr</vt:lpstr>
      <vt:lpstr>BAL_debt_short_term_prior</vt:lpstr>
      <vt:lpstr>BAL_equity_shareholders_curr</vt:lpstr>
      <vt:lpstr>BAL_equity_shareholders_prior</vt:lpstr>
      <vt:lpstr>BAL_fixed_assets_net_curr</vt:lpstr>
      <vt:lpstr>BAL_fixed_assets_net_prior</vt:lpstr>
      <vt:lpstr>BAL_intangibles_curr</vt:lpstr>
      <vt:lpstr>BAL_intangibles_prior</vt:lpstr>
      <vt:lpstr>BAL_inventories_curr</vt:lpstr>
      <vt:lpstr>BAL_inventories_prior</vt:lpstr>
      <vt:lpstr>BAL_liabilities_current_curr</vt:lpstr>
      <vt:lpstr>BAL_liabilities_current_prior</vt:lpstr>
      <vt:lpstr>BAL_liabilities_total_curr</vt:lpstr>
      <vt:lpstr>BAL_liabilities_total_prior</vt:lpstr>
      <vt:lpstr>BAL_other_assets_curr</vt:lpstr>
      <vt:lpstr>BAL_other_assets_prior</vt:lpstr>
      <vt:lpstr>BAL_other_current_assets_curr</vt:lpstr>
      <vt:lpstr>BAL_other_current_assets_prior</vt:lpstr>
      <vt:lpstr>BAL_other_current_liabilities_curr</vt:lpstr>
      <vt:lpstr>BAL_other_current_liabilities_prior</vt:lpstr>
      <vt:lpstr>BAL_other_long_term_liabilities_curr</vt:lpstr>
      <vt:lpstr>BAL_other_long_term_liabilities_prior</vt:lpstr>
      <vt:lpstr>BAL_ppe_gross_curr</vt:lpstr>
      <vt:lpstr>BAL_ppe_gross_prior</vt:lpstr>
      <vt:lpstr>BAL_receivables_curr</vt:lpstr>
      <vt:lpstr>BAL_receivables_prior</vt:lpstr>
      <vt:lpstr>BAL_retained_earnings_curr</vt:lpstr>
      <vt:lpstr>BAL_retained_earnings_prior</vt:lpstr>
      <vt:lpstr>CASH_investments</vt:lpstr>
      <vt:lpstr>CASH_operating</vt:lpstr>
      <vt:lpstr>CF_depreciation_amortization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INC_addition_retained_earnings</vt:lpstr>
      <vt:lpstr>INC_cost_goods_sold</vt:lpstr>
      <vt:lpstr>INC_depreciation</vt:lpstr>
      <vt:lpstr>INC_dividends</vt:lpstr>
      <vt:lpstr>INC_ebit</vt:lpstr>
      <vt:lpstr>INC_interest_expense</vt:lpstr>
      <vt:lpstr>INC_net</vt:lpstr>
      <vt:lpstr>INC_other_income</vt:lpstr>
      <vt:lpstr>INC_sales</vt:lpstr>
      <vt:lpstr>INC_sga</vt:lpstr>
      <vt:lpstr>INC_taxable_income</vt:lpstr>
      <vt:lpstr>INC_taxes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Luong</cp:lastModifiedBy>
  <dcterms:created xsi:type="dcterms:W3CDTF">2026-04-24T19:43:19Z</dcterms:created>
  <dcterms:modified xsi:type="dcterms:W3CDTF">2026-05-15T02:27:13Z</dcterms:modified>
</cp:coreProperties>
</file>